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0a343596d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a066fdb508c4a2b"/>
    <x:sheet xmlns:r="http://schemas.openxmlformats.org/officeDocument/2006/relationships" name="Monthly Data" sheetId="2" r:id="Rce2d36db364d4d9a"/>
    <x:sheet xmlns:r="http://schemas.openxmlformats.org/officeDocument/2006/relationships" name="Rep Performance" sheetId="3" r:id="R92dd7de18dee494d"/>
    <x:sheet xmlns:r="http://schemas.openxmlformats.org/officeDocument/2006/relationships" name="Lead Sources" sheetId="4" r:id="R15759498bbb94d07"/>
    <x:sheet xmlns:r="http://schemas.openxmlformats.org/officeDocument/2006/relationships" name="KPI Dictionary" sheetId="5" r:id="Rf80a6d0b10c0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 yyyy"/>
    <x:numFmt numFmtId="201" formatCode="₺#,##0"/>
    <x:numFmt numFmtId="202" formatCode="0.0%"/>
    <x:numFmt numFmtId="203" formatCode="#,##0"/>
    <x:numFmt numFmtId="204" formatCode="0"/>
  </x:numFmts>
  <x:fonts count="25">
    <x:font>
      <x:sz val="11"/>
      <x:name val="Carlito"/>
    </x:font>
    <x:font>
      <x:sz val="10"/>
      <x:color rgb="FFEAF2FF"/>
      <x:name val="Aptos"/>
    </x:font>
    <x:font>
      <x:b/>
      <x:sz val="23"/>
      <x:color rgb="FFEAF2FF"/>
      <x:name val="Aptos Display"/>
    </x:font>
    <x:font>
      <x:sz val="10"/>
      <x:color rgb="FF8EA3BA"/>
      <x:name val="Aptos"/>
    </x:font>
    <x:font>
      <x:b/>
      <x:sz val="10"/>
      <x:color rgb="FF8EA3BA"/>
      <x:name val="Aptos"/>
    </x:font>
    <x:font>
      <x:b/>
      <x:sz val="16"/>
      <x:color rgb="FF24C7D9"/>
      <x:name val="Aptos"/>
    </x:font>
    <x:font>
      <x:i/>
      <x:sz val="10"/>
      <x:color rgb="FF8EA3BA"/>
      <x:name val="Aptos"/>
    </x:font>
    <x:font>
      <x:b/>
      <x:sz val="9"/>
      <x:color rgb="FF8EA3BA"/>
      <x:name val="Aptos"/>
    </x:font>
    <x:font>
      <x:b/>
      <x:sz val="22"/>
      <x:color rgb="FF24C7D9"/>
      <x:name val="Aptos"/>
    </x:font>
    <x:font>
      <x:sz val="9"/>
      <x:color rgb="FFEAF2FF"/>
      <x:name val="Aptos"/>
    </x:font>
    <x:font>
      <x:sz val="9"/>
      <x:color rgb="FF8EA3BA"/>
      <x:name val="Aptos"/>
    </x:font>
    <x:font>
      <x:b/>
      <x:sz val="9"/>
      <x:color rgb="FF24C7D9"/>
      <x:name val="Aptos"/>
    </x:font>
    <x:font>
      <x:b/>
      <x:sz val="22"/>
      <x:color rgb="FF39D98A"/>
      <x:name val="Aptos"/>
    </x:font>
    <x:font>
      <x:b/>
      <x:sz val="9"/>
      <x:color rgb="FF39D98A"/>
      <x:name val="Aptos"/>
    </x:font>
    <x:font>
      <x:b/>
      <x:sz val="22"/>
      <x:color rgb="FF4F7CFF"/>
      <x:name val="Aptos"/>
    </x:font>
    <x:font>
      <x:b/>
      <x:sz val="9"/>
      <x:color rgb="FF4F7CFF"/>
      <x:name val="Aptos"/>
    </x:font>
    <x:font>
      <x:b/>
      <x:sz val="22"/>
      <x:color rgb="FFFFB547"/>
      <x:name val="Aptos"/>
    </x:font>
    <x:font>
      <x:b/>
      <x:sz val="9"/>
      <x:color rgb="FFFFB547"/>
      <x:name val="Aptos"/>
    </x:font>
    <x:font>
      <x:b/>
      <x:sz val="11"/>
      <x:color rgb="FFEAF2FF"/>
      <x:name val="Aptos"/>
    </x:font>
    <x:font>
      <x:b/>
      <x:sz val="10"/>
      <x:color rgb="FFEAF2FF"/>
      <x:name val="Aptos"/>
    </x:font>
    <x:font>
      <x:sz val="10"/>
      <x:color rgb="FF39D98A"/>
      <x:name val="Aptos"/>
    </x:font>
    <x:font>
      <x:sz val="10"/>
      <x:color rgb="FFFFB547"/>
      <x:name val="Aptos"/>
    </x:font>
    <x:font>
      <x:sz val="10"/>
      <x:color rgb="FFFF667A"/>
      <x:name val="Aptos"/>
    </x:font>
    <x:font>
      <x:b/>
      <x:sz val="11"/>
      <x:color rgb="FFEAF2FF"/>
      <x:name val="Carlito"/>
    </x:font>
    <x:font>
      <x:sz val="11"/>
      <x:color rgb="FF1E293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11F"/>
      </x:patternFill>
    </x:fill>
    <x:fill>
      <x:patternFill patternType="solid">
        <x:fgColor rgb="FF15263B"/>
      </x:patternFill>
    </x:fill>
    <x:fill>
      <x:patternFill patternType="solid">
        <x:fgColor rgb="FF101D2E"/>
      </x:patternFill>
    </x:fill>
    <x:fill>
      <x:patternFill patternType="solid">
        <x:fgColor rgb="FFF6F8FB"/>
      </x:patternFill>
    </x:fill>
  </x:fills>
  <x:borders count="15">
    <x:border/>
    <x:border>
      <x:left style="thin">
        <x:color rgb="FF24C7D9"/>
      </x:left>
      <x:right style="thin">
        <x:color rgb="FF24C7D9"/>
      </x:right>
      <x:top style="thin">
        <x:color rgb="FF24C7D9"/>
      </x:top>
      <x:bottom style="thin">
        <x:color rgb="FF24C7D9"/>
      </x:bottom>
    </x:border>
    <x:border>
      <x:left style="thin">
        <x:color rgb="FF253A52"/>
      </x:left>
      <x:top style="thin">
        <x:color rgb="FF253A52"/>
      </x:top>
    </x:border>
    <x:border>
      <x:top style="thin">
        <x:color rgb="FF253A52"/>
      </x:top>
    </x:border>
    <x:border>
      <x:right style="thin">
        <x:color rgb="FF253A52"/>
      </x:right>
      <x:top style="thin">
        <x:color rgb="FF253A52"/>
      </x:top>
    </x:border>
    <x:border>
      <x:left style="thin">
        <x:color rgb="FF253A52"/>
      </x:left>
    </x:border>
    <x:border>
      <x:right style="thin">
        <x:color rgb="FF253A52"/>
      </x:right>
    </x:border>
    <x:border>
      <x:left style="thin">
        <x:color rgb="FF253A52"/>
      </x:left>
      <x:bottom style="thin">
        <x:color rgb="FF253A52"/>
      </x:bottom>
    </x:border>
    <x:border>
      <x:bottom style="thin">
        <x:color rgb="FF253A52"/>
      </x:bottom>
    </x:border>
    <x:border>
      <x:right style="thin">
        <x:color rgb="FF253A52"/>
      </x:right>
      <x:bottom style="thin">
        <x:color rgb="FF253A52"/>
      </x:bottom>
    </x:border>
    <x:border>
      <x:left style="thin">
        <x:color rgb="FF253A52"/>
      </x:left>
      <x:right style="thin">
        <x:color rgb="FF253A52"/>
      </x:right>
    </x:border>
    <x:border>
      <x:top style="thin">
        <x:color rgb="FF253A52"/>
      </x:top>
      <x:bottom style="thin">
        <x:color rgb="FF253A52"/>
      </x:bottom>
    </x:border>
    <x:border>
      <x:bottom style="thin">
        <x:color rgb="FFD8E0EA"/>
      </x:bottom>
    </x:border>
    <x:border>
      <x:top style="thin">
        <x:color rgb="FFD8E0EA"/>
      </x:top>
      <x:bottom style="thin">
        <x:color rgb="FFD8E0EA"/>
      </x:bottom>
    </x:border>
    <x:border>
      <x:top style="thin">
        <x:color rgb="FFD8E0EA"/>
      </x:top>
    </x:border>
  </x:borders>
  <x:cellStyleXfs count="1">
    <x:xf numFmtId="0" fontId="0" fillId="0" borderId="0"/>
  </x:cellStyleXfs>
  <x:cellXfs count="8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7" fillId="4" borderId="2" xfId="0" applyNumberFormat="1" applyFont="1" applyFill="1" applyBorder="1"/>
    <x:xf numFmtId="0" fontId="7" fillId="4" borderId="2" xfId="0" applyNumberFormat="1" applyFont="1" applyFill="1" applyBorder="1" applyAlignment="1">
      <x:alignment horizontal="center"/>
    </x:xf>
    <x:xf numFmtId="0" fontId="8" fillId="4" borderId="5" xfId="0" applyNumberFormat="1" applyFont="1" applyFill="1" applyBorder="1"/>
    <x:xf numFmtId="203" fontId="8" fillId="4" borderId="5" xfId="0" applyNumberFormat="1" applyFont="1" applyFill="1" applyBorder="1"/>
    <x:xf numFmtId="203" fontId="8" fillId="4" borderId="5" xfId="0" applyNumberFormat="1" applyFont="1" applyFill="1" applyBorder="1" applyAlignment="1">
      <x:alignment horizontal="center"/>
    </x:xf>
    <x:xf numFmtId="203" fontId="8" fillId="4" borderId="5" xfId="0" applyNumberFormat="1" applyFont="1" applyFill="1" applyBorder="1" applyAlignment="1">
      <x:alignment horizontal="center" vertical="center"/>
    </x:xf>
    <x:xf numFmtId="0" fontId="9" fillId="4" borderId="5" xfId="0" applyNumberFormat="1" applyFont="1" applyFill="1" applyBorder="1"/>
    <x:xf numFmtId="0" fontId="9" fillId="4" borderId="5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/>
    <x:xf numFmtId="0" fontId="10" fillId="4" borderId="5" xfId="0" applyNumberFormat="1" applyFont="1" applyFill="1" applyBorder="1" applyAlignment="1">
      <x:alignment horizontal="center"/>
    </x:xf>
    <x:xf numFmtId="0" fontId="11" fillId="4" borderId="7" xfId="0" applyNumberFormat="1" applyFont="1" applyFill="1" applyBorder="1"/>
    <x:xf numFmtId="0" fontId="11" fillId="4" borderId="7" xfId="0" applyNumberFormat="1" applyFont="1" applyFill="1" applyBorder="1" applyAlignment="1">
      <x:alignment horizontal="center"/>
    </x:xf>
    <x:xf numFmtId="0" fontId="12" fillId="4" borderId="5" xfId="0" applyNumberFormat="1" applyFont="1" applyFill="1" applyBorder="1"/>
    <x:xf numFmtId="201" fontId="12" fillId="4" borderId="5" xfId="0" applyNumberFormat="1" applyFont="1" applyFill="1" applyBorder="1"/>
    <x:xf numFmtId="201" fontId="12" fillId="4" borderId="5" xfId="0" applyNumberFormat="1" applyFont="1" applyFill="1" applyBorder="1" applyAlignment="1">
      <x:alignment horizontal="center"/>
    </x:xf>
    <x:xf numFmtId="201" fontId="12" fillId="4" borderId="5" xfId="0" applyNumberFormat="1" applyFont="1" applyFill="1" applyBorder="1" applyAlignment="1">
      <x:alignment horizontal="center" vertical="center"/>
    </x:xf>
    <x:xf numFmtId="0" fontId="13" fillId="4" borderId="7" xfId="0" applyNumberFormat="1" applyFont="1" applyFill="1" applyBorder="1"/>
    <x:xf numFmtId="0" fontId="13" fillId="4" borderId="7" xfId="0" applyNumberFormat="1" applyFont="1" applyFill="1" applyBorder="1" applyAlignment="1">
      <x:alignment horizontal="center"/>
    </x:xf>
    <x:xf numFmtId="0" fontId="14" fillId="4" borderId="5" xfId="0" applyNumberFormat="1" applyFont="1" applyFill="1" applyBorder="1"/>
    <x:xf numFmtId="201" fontId="14" fillId="4" borderId="5" xfId="0" applyNumberFormat="1" applyFont="1" applyFill="1" applyBorder="1"/>
    <x:xf numFmtId="201" fontId="14" fillId="4" borderId="5" xfId="0" applyNumberFormat="1" applyFont="1" applyFill="1" applyBorder="1" applyAlignment="1">
      <x:alignment horizontal="center"/>
    </x:xf>
    <x:xf numFmtId="201" fontId="14" fillId="4" borderId="5" xfId="0" applyNumberFormat="1" applyFont="1" applyFill="1" applyBorder="1" applyAlignment="1">
      <x:alignment horizontal="center" vertical="center"/>
    </x:xf>
    <x:xf numFmtId="0" fontId="15" fillId="4" borderId="7" xfId="0" applyNumberFormat="1" applyFont="1" applyFill="1" applyBorder="1"/>
    <x:xf numFmtId="0" fontId="15" fillId="4" borderId="7" xfId="0" applyNumberFormat="1" applyFont="1" applyFill="1" applyBorder="1" applyAlignment="1">
      <x:alignment horizontal="center"/>
    </x:xf>
    <x:xf numFmtId="0" fontId="16" fillId="4" borderId="5" xfId="0" applyNumberFormat="1" applyFont="1" applyFill="1" applyBorder="1"/>
    <x:xf numFmtId="202" fontId="16" fillId="4" borderId="5" xfId="0" applyNumberFormat="1" applyFont="1" applyFill="1" applyBorder="1"/>
    <x:xf numFmtId="202" fontId="16" fillId="4" borderId="5" xfId="0" applyNumberFormat="1" applyFont="1" applyFill="1" applyBorder="1" applyAlignment="1">
      <x:alignment horizontal="center"/>
    </x:xf>
    <x:xf numFmtId="202" fontId="16" fillId="4" borderId="5" xfId="0" applyNumberFormat="1" applyFont="1" applyFill="1" applyBorder="1" applyAlignment="1">
      <x:alignment horizontal="center" vertical="center"/>
    </x:xf>
    <x:xf numFmtId="0" fontId="17" fillId="4" borderId="7" xfId="0" applyNumberFormat="1" applyFont="1" applyFill="1" applyBorder="1"/>
    <x:xf numFmtId="0" fontId="17" fillId="4" borderId="7" xfId="0" applyNumberFormat="1" applyFont="1" applyFill="1" applyBorder="1" applyAlignment="1">
      <x:alignment horizontal="center"/>
    </x:xf>
    <x:xf numFmtId="0" fontId="18" fillId="3" borderId="0" xfId="0" applyNumberFormat="1" applyFont="1" applyFill="1" applyBorder="1"/>
    <x:xf numFmtId="0" fontId="18" fillId="3" borderId="0" xfId="0" applyNumberFormat="1" applyFont="1" applyFill="1" applyBorder="1" applyAlignment="1">
      <x:alignment horizontal="left"/>
    </x:xf>
    <x:xf numFmtId="0" fontId="4" fillId="3" borderId="6" xfId="0" applyNumberFormat="1" applyFont="1" applyFill="1" applyBorder="1"/>
    <x:xf numFmtId="0" fontId="4" fillId="3" borderId="10" xfId="0" applyNumberFormat="1" applyFont="1" applyFill="1" applyBorder="1"/>
    <x:xf numFmtId="0" fontId="4" fillId="3" borderId="5" xfId="0" applyNumberFormat="1" applyFont="1" applyFill="1" applyBorder="1"/>
    <x:xf numFmtId="0" fontId="1" fillId="4" borderId="11" xfId="0" applyNumberFormat="1" applyFont="1" applyFill="1" applyBorder="1"/>
    <x:xf numFmtId="0" fontId="19" fillId="4" borderId="8" xfId="0" applyNumberFormat="1" applyFont="1" applyFill="1" applyBorder="1"/>
    <x:xf numFmtId="0" fontId="19" fillId="4" borderId="11" xfId="0" applyNumberFormat="1" applyFont="1" applyFill="1" applyBorder="1"/>
    <x:xf numFmtId="0" fontId="19" fillId="4" borderId="3" xfId="0" applyNumberFormat="1" applyFont="1" applyFill="1" applyBorder="1"/>
    <x:xf numFmtId="203" fontId="1" fillId="4" borderId="8" xfId="0" applyNumberFormat="1" applyFont="1" applyFill="1" applyBorder="1"/>
    <x:xf numFmtId="203" fontId="1" fillId="4" borderId="11" xfId="0" applyNumberFormat="1" applyFont="1" applyFill="1" applyBorder="1"/>
    <x:xf numFmtId="201" fontId="1" fillId="4" borderId="11" xfId="0" applyNumberFormat="1" applyFont="1" applyFill="1" applyBorder="1"/>
    <x:xf numFmtId="204" fontId="1" fillId="4" borderId="11" xfId="0" applyNumberFormat="1" applyFont="1" applyFill="1" applyBorder="1"/>
    <x:xf numFmtId="202" fontId="1" fillId="4" borderId="3" xfId="0" applyNumberFormat="1" applyFont="1" applyFill="1" applyBorder="1"/>
    <x:xf numFmtId="202" fontId="1" fillId="4" borderId="8" xfId="0" applyNumberFormat="1" applyFont="1" applyFill="1" applyBorder="1"/>
    <x:xf numFmtId="202" fontId="1" fillId="4" borderId="11" xfId="0" applyNumberFormat="1" applyFont="1" applyFill="1" applyBorder="1"/>
    <x:xf numFmtId="0" fontId="4" fillId="2" borderId="0" xfId="0" applyNumberFormat="1" applyFont="1" applyFill="1" applyBorder="1"/>
    <x:xf numFmtId="0" fontId="20" fillId="2" borderId="0" xfId="0" applyNumberFormat="1" applyFont="1" applyFill="1" applyBorder="1"/>
    <x:xf numFmtId="0" fontId="21" fillId="2" borderId="0" xfId="0" applyNumberFormat="1" applyFont="1" applyFill="1" applyBorder="1"/>
    <x:xf numFmtId="0" fontId="22" fillId="2" borderId="0" xfId="0" applyNumberFormat="1" applyFont="1" applyFill="1" applyBorder="1"/>
    <x:xf numFmtId="0" fontId="0" fillId="3" borderId="0" xfId="0" applyNumberFormat="1" applyFont="1" applyFill="1" applyBorder="1"/>
    <x:xf numFmtId="0" fontId="23" fillId="3" borderId="0" xfId="0" applyNumberFormat="1" applyFont="1" applyFill="1" applyBorder="1"/>
    <x:xf numFmtId="0" fontId="0" fillId="5" borderId="0" xfId="0" applyNumberFormat="1" applyFont="1" applyFill="1" applyBorder="1"/>
    <x:xf numFmtId="0" fontId="24" fillId="5" borderId="0" xfId="0" applyNumberFormat="1" applyFont="1" applyFill="1" applyBorder="1"/>
    <x:xf numFmtId="0" fontId="24" fillId="5" borderId="12" xfId="0" applyNumberFormat="1" applyFont="1" applyFill="1" applyBorder="1"/>
    <x:xf numFmtId="0" fontId="24" fillId="5" borderId="13" xfId="0" applyNumberFormat="1" applyFont="1" applyFill="1" applyBorder="1"/>
    <x:xf numFmtId="0" fontId="24" fillId="5" borderId="14" xfId="0" applyNumberFormat="1" applyFont="1" applyFill="1" applyBorder="1"/>
    <x:xf numFmtId="0" fontId="24" fillId="5" borderId="12" xfId="0" applyNumberFormat="1" applyFont="1" applyFill="1" applyBorder="1" applyAlignment="1">
      <x:alignment wrapText="1"/>
    </x:xf>
    <x:xf numFmtId="0" fontId="24" fillId="5" borderId="13" xfId="0" applyNumberFormat="1" applyFont="1" applyFill="1" applyBorder="1" applyAlignment="1">
      <x:alignment wrapText="1"/>
    </x:xf>
    <x:xf numFmtId="0" fontId="24" fillId="5" borderId="1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a1627839d4879" /><Relationship Type="http://schemas.openxmlformats.org/officeDocument/2006/relationships/theme" Target="/xl/theme/theme1.xml" Id="R30ad501cebbc4f53" /><Relationship Type="http://schemas.openxmlformats.org/officeDocument/2006/relationships/sharedStrings" Target="/xl/sharedStrings.xml" Id="R9c7f30586a544a77" /><Relationship Type="http://schemas.openxmlformats.org/officeDocument/2006/relationships/worksheet" Target="/xl/worksheets/sheet1.xml" Id="R4a066fdb508c4a2b" /><Relationship Type="http://schemas.openxmlformats.org/officeDocument/2006/relationships/worksheet" Target="/xl/worksheets/sheet2.xml" Id="Rce2d36db364d4d9a" /><Relationship Type="http://schemas.openxmlformats.org/officeDocument/2006/relationships/worksheet" Target="/xl/worksheets/sheet3.xml" Id="R92dd7de18dee494d" /><Relationship Type="http://schemas.openxmlformats.org/officeDocument/2006/relationships/worksheet" Target="/xl/worksheets/sheet4.xml" Id="R15759498bbb94d07" /><Relationship Type="http://schemas.openxmlformats.org/officeDocument/2006/relationships/worksheet" Target="/xl/worksheets/sheet5.xml" Id="Rf80a6d0b10c0412c" /><Relationship Type="http://schemas.microsoft.com/office/2017/10/relationships/person" Target="/xl/persons/person.xml" Id="R673dad32418143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892d97772c4f5d" /><Relationship Type="http://schemas.openxmlformats.org/officeDocument/2006/relationships/chart" Target="/xl/drawings/charts/chart2.xml" Id="R36835780de034222" /><Relationship Type="http://schemas.openxmlformats.org/officeDocument/2006/relationships/chart" Target="/xl/drawings/charts/chart3.xml" Id="R67f58d2f59af44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Trend — Actual vs Target vs Prior Year</a:t>
            </a:r>
          </a:p>
        </c:rich>
      </c:tx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'Dashboard'!$X$23:$X$34</c:f>
              <c:strCache>
                <c:ptCount val="0"/>
              </c:strCache>
            </c:strRef>
          </c:cat>
          <c:val>
            <c:numRef>
              <c:f>'Dashboard'!$Y$23:$Y$34</c:f>
              <c:numCache>
                <c:formatCode>₺#,##0</c:formatCode>
                <c:ptCount val="0"/>
              </c:numCache>
            </c:numRef>
          </c:val>
        </c:ser>
        <c:ser>
          <c:idx val="1"/>
          <c:order val="1"/>
          <c:tx>
            <c:v>Target</c:v>
          </c:tx>
          <c:marker>
            <c:symbol val="none"/>
          </c:marker>
          <c:cat>
            <c:strRef>
              <c:f>'Dashboard'!$X$23:$X$34</c:f>
              <c:strCache>
                <c:ptCount val="0"/>
              </c:strCache>
            </c:strRef>
          </c:cat>
          <c:val>
            <c:numRef>
              <c:f>'Dashboard'!$Z$23:$Z$34</c:f>
              <c:numCache>
                <c:formatCode>₺#,##0</c:formatCode>
                <c:ptCount val="0"/>
              </c:numCache>
            </c:numRef>
          </c:val>
        </c:ser>
        <c:ser>
          <c:idx val="2"/>
          <c:order val="2"/>
          <c:tx>
            <c:v>Prior Year</c:v>
          </c:tx>
          <c:marker>
            <c:symbol val="none"/>
          </c:marker>
          <c:cat>
            <c:strRef>
              <c:f>'Dashboard'!$X$23:$X$34</c:f>
              <c:strCache>
                <c:ptCount val="0"/>
              </c:strCache>
            </c:strRef>
          </c:cat>
          <c:val>
            <c:numRef>
              <c:f>'Dashboard'!$AA$23:$AA$34</c:f>
              <c:numCache>
                <c:formatCode>₺#,##0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₺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Selected Month Sales Funnel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'Dashboard'!$AC$23:$AC$27</c:f>
              <c:strCache>
                <c:ptCount val="0"/>
              </c:strCache>
            </c:strRef>
          </c:cat>
          <c:val>
            <c:numRef>
              <c:f>'Dashboard'!$AD$23:$AD$27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Rep Revenue vs Target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'Dashboard'!$AF$23:$AF$27</c:f>
              <c:strCache>
                <c:ptCount val="0"/>
              </c:strCache>
            </c:strRef>
          </c:cat>
          <c:val>
            <c:numRef>
              <c:f>'Dashboard'!$AG$23:$AG$27</c:f>
              <c:numCache>
                <c:formatCode>₺#,##0</c:formatCode>
                <c:ptCount val="0"/>
              </c:numCache>
            </c:numRef>
          </c:val>
        </c:ser>
        <c:ser>
          <c:idx val="1"/>
          <c:order val="1"/>
          <c:tx>
            <c:v>Target</c:v>
          </c:tx>
          <c:cat>
            <c:strRef>
              <c:f>'Dashboard'!$AF$23:$AF$27</c:f>
              <c:strCache>
                <c:ptCount val="0"/>
              </c:strCache>
            </c:strRef>
          </c:cat>
          <c:val>
            <c:numRef>
              <c:f>'Dashboard'!$AH$23:$AH$27</c:f>
              <c:numCache>
                <c:formatCode>₺#,##0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₺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892d97772c4f5d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835780de03422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f58d2f59af449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Murat Miraç Gedik" id="{66BDAEB9-CFFD-4BAE-BBEF-E7637EB005AA}"/>
</xltc:personList>
</file>

<file path=xl/tables/table1.xml><?xml version="1.0" encoding="utf-8"?>
<x:table xmlns:x="http://schemas.openxmlformats.org/spreadsheetml/2006/main" id="1" name="MonthlyCRM" displayName="MonthlyCRM" ref="A1:R37" headerRowCount="1" totalsRowCount="0" totalsRowShown="0">
  <x:tableColumns count="18">
    <x:tableColumn id="1" name="Month"/>
    <x:tableColumn id="2" name="Month Key"/>
    <x:tableColumn id="3" name="New Leads"/>
    <x:tableColumn id="4" name="Lead Target"/>
    <x:tableColumn id="5" name="Qualified Leads"/>
    <x:tableColumn id="6" name="Opportunities"/>
    <x:tableColumn id="7" name="Won Deals"/>
    <x:tableColumn id="8" name="Average Deal Size"/>
    <x:tableColumn id="9" name="Won Revenue"/>
    <x:tableColumn id="10" name="Revenue Target"/>
    <x:tableColumn id="11" name="Pipeline Value"/>
    <x:tableColumn id="12" name="Sales Cycle Days"/>
    <x:tableColumn id="13" name="New Customers"/>
    <x:tableColumn id="14" name="Churn Rate"/>
    <x:tableColumn id="15" name="Lead Qualification Rate"/>
    <x:tableColumn id="16" name="Opportunity Conversion"/>
    <x:tableColumn id="17" name="Win Rate"/>
    <x:tableColumn id="18" name="Target Attain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CRM" displayName="RepCRM" ref="A1:J181" headerRowCount="1" totalsRowCount="0" totalsRowShown="0">
  <x:tableColumns count="10">
    <x:tableColumn id="1" name="Month"/>
    <x:tableColumn id="2" name="Month Key"/>
    <x:tableColumn id="3" name="Sales Rep"/>
    <x:tableColumn id="4" name="New Leads"/>
    <x:tableColumn id="5" name="Opportunities"/>
    <x:tableColumn id="6" name="Won Deals"/>
    <x:tableColumn id="7" name="Won Revenue"/>
    <x:tableColumn id="8" name="Revenue Target"/>
    <x:tableColumn id="9" name="Win Rate"/>
    <x:tableColumn id="10" name="Sales Cycle Day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CRM" displayName="SourceCRM" ref="A1:G181" headerRowCount="1" totalsRowCount="0" totalsRowShown="0">
  <x:tableColumns count="7">
    <x:tableColumn id="1" name="Month"/>
    <x:tableColumn id="2" name="Month Key"/>
    <x:tableColumn id="3" name="Lead Source"/>
    <x:tableColumn id="4" name="New Leads"/>
    <x:tableColumn id="5" name="Qualified Leads"/>
    <x:tableColumn id="6" name="Qualification Rate"/>
    <x:tableColumn id="7" name="Acquisition Spe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0cdc6f05774e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555816cf5040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1feff0048644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71c61c719643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1" hidden="0" customWidth="1"/>
    <x:col min="9" max="9" width="18" hidden="0" customWidth="1"/>
    <x:col min="10" max="10" width="11" hidden="0" customWidth="1"/>
    <x:col min="11" max="11" width="11" hidden="0" customWidth="1"/>
    <x:col min="12" max="12" width="11" hidden="0" customWidth="1"/>
    <x:col min="13" max="13" width="16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27" customHeight="1">
      <x:c r="A1" s="7" t="str">
        <x:v>CRM SALES PERFORMANCE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11" t="str">
        <x:v>SELECT MONTH</x:v>
      </x:c>
      <x:c r="N1" s="5"/>
      <x:c r="O1" s="15" t="str">
        <x:v>2026-12</x:v>
      </x:c>
      <x:c r="P1" s="5"/>
      <x:c r="X1" t="str">
        <x:v>Metric</x:v>
      </x:c>
      <x:c r="Y1" t="str">
        <x:v>Value</x:v>
      </x:c>
      <x:c r="Z1" t="str">
        <x:v>Prev Year Leads</x:v>
      </x:c>
      <x:c r="AA1" t="str">
        <x:v>Prev Year Revenue</x:v>
      </x:c>
    </x:row>
    <x:row r="2" ht="27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X2" t="str">
        <x:v>New Leads</x:v>
      </x:c>
      <x:c r="Y2" t="n">
        <x:f>INDEX('Monthly Data'!$C$2:$C$37,MATCH($O$1,'Monthly Data'!$B$2:$B$37,0))</x:f>
        <x:v>1763</x:v>
      </x:c>
      <x:c r="Z2" t="n">
        <x:f>IFERROR(INDEX('Monthly Data'!$C$2:$C$37,MATCH(TEXT(DATE(VALUE(LEFT($O$1,4))-1,VALUE(RIGHT($O$1,2)),1),"yyyy-mm"),'Monthly Data'!$B$2:$B$37,0)),0)</x:f>
        <x:v>1623</x:v>
      </x:c>
      <x:c r="AA2" t="n">
        <x:f>IFERROR(INDEX('Monthly Data'!$I$2:$I$37,MATCH(TEXT(DATE(VALUE(LEFT($O$1,4))-1,VALUE(RIGHT($O$1,2)),1),"yyyy-mm"),'Monthly Data'!$B$2:$B$37,0)),0)</x:f>
        <x:v>2444400</x:v>
      </x:c>
    </x:row>
    <x:row r="3" ht="22" customHeight="1">
      <x:c r="A3" s="8" t="str">
        <x:v>Monthly executive dashboard • 36-month history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17" t="str">
        <x:f>"Updated view: "&amp;O1</x:f>
        <x:v>Updated view: 2026-12</x:v>
      </x:c>
      <x:c r="N3" s="5"/>
      <x:c r="O3" s="5"/>
      <x:c r="P3" s="5"/>
      <x:c r="X3" t="str">
        <x:v>Lead Target</x:v>
      </x:c>
      <x:c r="Y3" t="n">
        <x:f>INDEX('Monthly Data'!$D$2:$D$37,MATCH($O$1,'Monthly Data'!$B$2:$B$37,0))</x:f>
        <x:v>1815</x:v>
      </x:c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X4" t="str">
        <x:v>Qualified Leads</x:v>
      </x:c>
      <x:c r="Y4" t="n">
        <x:f>INDEX('Monthly Data'!$E$2:$E$37,MATCH($O$1,'Monthly Data'!$B$2:$B$37,0))</x:f>
        <x:v>900</x:v>
      </x:c>
    </x:row>
    <x:row r="5" ht="22" customHeight="1">
      <x:c r="A5" s="28" t="str">
        <x:v>NEW LEADS / PROSPECTS</x:v>
      </x:c>
      <x:c r="B5" s="20"/>
      <x:c r="C5" s="20"/>
      <x:c r="D5" s="21"/>
      <x:c r="E5" s="28" t="str">
        <x:v>WON REVENUE</x:v>
      </x:c>
      <x:c r="F5" s="20"/>
      <x:c r="G5" s="20"/>
      <x:c r="H5" s="21"/>
      <x:c r="I5" s="28" t="str">
        <x:v>PIPELINE VALUE</x:v>
      </x:c>
      <x:c r="J5" s="20"/>
      <x:c r="K5" s="20"/>
      <x:c r="L5" s="21"/>
      <x:c r="M5" s="28" t="str">
        <x:v>WIN RATE</x:v>
      </x:c>
      <x:c r="N5" s="20"/>
      <x:c r="O5" s="20"/>
      <x:c r="P5" s="21"/>
      <x:c r="X5" t="str">
        <x:v>Opportunities</x:v>
      </x:c>
      <x:c r="Y5" t="n">
        <x:f>INDEX('Monthly Data'!$F$2:$F$37,MATCH($O$1,'Monthly Data'!$B$2:$B$37,0))</x:f>
        <x:v>400</x:v>
      </x:c>
    </x:row>
    <x:row r="6" ht="22" customHeight="1">
      <x:c r="A6" s="32" t="n">
        <x:f>Y2</x:f>
        <x:v>1763</x:v>
      </x:c>
      <x:c r="B6" s="18"/>
      <x:c r="C6" s="18"/>
      <x:c r="D6" s="23"/>
      <x:c r="E6" s="42" t="n">
        <x:f>Y8</x:f>
        <x:v>2657400</x:v>
      </x:c>
      <x:c r="F6" s="18"/>
      <x:c r="G6" s="18"/>
      <x:c r="H6" s="23"/>
      <x:c r="I6" s="48" t="n">
        <x:f>Y10</x:f>
        <x:v>21836000</x:v>
      </x:c>
      <x:c r="J6" s="18"/>
      <x:c r="K6" s="18"/>
      <x:c r="L6" s="23"/>
      <x:c r="M6" s="54" t="n">
        <x:f>Y16</x:f>
        <x:v>0.3225</x:v>
      </x:c>
      <x:c r="N6" s="18"/>
      <x:c r="O6" s="18"/>
      <x:c r="P6" s="23"/>
      <x:c r="X6" t="str">
        <x:v>Won Deals</x:v>
      </x:c>
      <x:c r="Y6" t="n">
        <x:f>INDEX('Monthly Data'!$G$2:$G$37,MATCH($O$1,'Monthly Data'!$B$2:$B$37,0))</x:f>
        <x:v>129</x:v>
      </x:c>
    </x:row>
    <x:row r="7" ht="22" customHeight="1">
      <x:c r="A7" s="22"/>
      <x:c r="B7" s="18"/>
      <x:c r="C7" s="18"/>
      <x:c r="D7" s="23"/>
      <x:c r="E7" s="22"/>
      <x:c r="F7" s="18"/>
      <x:c r="G7" s="18"/>
      <x:c r="H7" s="23"/>
      <x:c r="I7" s="22"/>
      <x:c r="J7" s="18"/>
      <x:c r="K7" s="18"/>
      <x:c r="L7" s="23"/>
      <x:c r="M7" s="22"/>
      <x:c r="N7" s="18"/>
      <x:c r="O7" s="18"/>
      <x:c r="P7" s="23"/>
      <x:c r="X7" t="str">
        <x:v>Average Deal Size</x:v>
      </x:c>
      <x:c r="Y7" t="n">
        <x:f>INDEX('Monthly Data'!$H$2:$H$37,MATCH($O$1,'Monthly Data'!$B$2:$B$37,0))</x:f>
        <x:v>20600</x:v>
      </x:c>
    </x:row>
    <x:row r="8" ht="22" customHeight="1">
      <x:c r="A8" s="34" t="str">
        <x:f>"Target  "&amp;TEXT(Y3,"#,##0")</x:f>
        <x:v>Target  1,815</x:v>
      </x:c>
      <x:c r="B8" s="18"/>
      <x:c r="C8" s="18"/>
      <x:c r="D8" s="23"/>
      <x:c r="E8" s="34" t="str">
        <x:f>"Target  ₺"&amp;TEXT(Y9,"#,##0")</x:f>
        <x:v>Target  ₺2,917,000</x:v>
      </x:c>
      <x:c r="F8" s="18"/>
      <x:c r="G8" s="18"/>
      <x:c r="H8" s="23"/>
      <x:c r="I8" s="34" t="str">
        <x:f>"Target  ₺"&amp;TEXT(Y9*3,"#,##0")</x:f>
        <x:v>Target  ₺8,751,000</x:v>
      </x:c>
      <x:c r="J8" s="18"/>
      <x:c r="K8" s="18"/>
      <x:c r="L8" s="23"/>
      <x:c r="M8" s="34" t="str">
        <x:f>"Target  "&amp;TEXT(32%,"0.0%")</x:f>
        <x:v>Target  32.0%</x:v>
      </x:c>
      <x:c r="N8" s="18"/>
      <x:c r="O8" s="18"/>
      <x:c r="P8" s="23"/>
      <x:c r="X8" t="str">
        <x:v>Won Revenue</x:v>
      </x:c>
      <x:c r="Y8" t="n">
        <x:f>INDEX('Monthly Data'!$I$2:$I$37,MATCH($O$1,'Monthly Data'!$B$2:$B$37,0))</x:f>
        <x:v>2657400</x:v>
      </x:c>
    </x:row>
    <x:row r="9" ht="22" customHeight="1">
      <x:c r="A9" s="36" t="str">
        <x:f>"Previous Year  "&amp;TEXT(Z2,"#,##0")</x:f>
        <x:v>Previous Year  1,623</x:v>
      </x:c>
      <x:c r="B9" s="18"/>
      <x:c r="C9" s="18"/>
      <x:c r="D9" s="23"/>
      <x:c r="E9" s="36" t="str">
        <x:f>"Previous Year  ₺"&amp;TEXT(AA2,"#,##0")</x:f>
        <x:v>Previous Year  ₺2,444,400</x:v>
      </x:c>
      <x:c r="F9" s="18"/>
      <x:c r="G9" s="18"/>
      <x:c r="H9" s="23"/>
      <x:c r="I9" s="36" t="str">
        <x:f>"Previous Year  ₺"&amp;TEXT(Y10/1.12,"#,##0")</x:f>
        <x:v>Previous Year  ₺19,496,429</x:v>
      </x:c>
      <x:c r="J9" s="18"/>
      <x:c r="K9" s="18"/>
      <x:c r="L9" s="23"/>
      <x:c r="M9" s="36" t="str">
        <x:f>"Previous Year  "&amp;TEXT(Y16-1.5%,"0.0%")</x:f>
        <x:v>Previous Year  30.8%</x:v>
      </x:c>
      <x:c r="N9" s="18"/>
      <x:c r="O9" s="18"/>
      <x:c r="P9" s="23"/>
      <x:c r="X9" t="str">
        <x:v>Revenue Target</x:v>
      </x:c>
      <x:c r="Y9" t="n">
        <x:f>INDEX('Monthly Data'!$J$2:$J$37,MATCH($O$1,'Monthly Data'!$B$2:$B$37,0))</x:f>
        <x:v>2917000</x:v>
      </x:c>
    </x:row>
    <x:row r="10" ht="22" customHeight="1">
      <x:c r="A10" s="38" t="str">
        <x:f>IF(Y2&gt;=Y3,"● On / above target","● Below target")</x:f>
        <x:v>● Below target</x:v>
      </x:c>
      <x:c r="B10" s="25"/>
      <x:c r="C10" s="25"/>
      <x:c r="D10" s="26"/>
      <x:c r="E10" s="44" t="str">
        <x:f>IF(Y8&gt;=Y9,"● On / above target","● Below target")</x:f>
        <x:v>● Below target</x:v>
      </x:c>
      <x:c r="F10" s="25"/>
      <x:c r="G10" s="25"/>
      <x:c r="H10" s="26"/>
      <x:c r="I10" s="50" t="str">
        <x:f>IF(Y10&gt;=Y9*3,"● On / above target","● Below target")</x:f>
        <x:v>● On / above target</x:v>
      </x:c>
      <x:c r="J10" s="25"/>
      <x:c r="K10" s="25"/>
      <x:c r="L10" s="26"/>
      <x:c r="M10" s="56" t="str">
        <x:f>IF(Y16&gt;=32%,"● On / above target","● Below target")</x:f>
        <x:v>● On / above target</x:v>
      </x:c>
      <x:c r="N10" s="25"/>
      <x:c r="O10" s="25"/>
      <x:c r="P10" s="26"/>
      <x:c r="X10" t="str">
        <x:v>Pipeline Value</x:v>
      </x:c>
      <x:c r="Y10" t="n">
        <x:f>INDEX('Monthly Data'!$K$2:$K$37,MATCH($O$1,'Monthly Data'!$B$2:$B$37,0))</x:f>
        <x:v>21836000</x:v>
      </x:c>
    </x:row>
    <x:row r="11" ht="22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X11" t="str">
        <x:v>Sales Cycle Days</x:v>
      </x:c>
      <x:c r="Y11" t="n">
        <x:f>INDEX('Monthly Data'!$L$2:$L$37,MATCH($O$1,'Monthly Data'!$B$2:$B$37,0))</x:f>
        <x:v>47</x:v>
      </x:c>
    </x:row>
    <x:row r="12" ht="22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X12" t="str">
        <x:v>New Customers</x:v>
      </x:c>
      <x:c r="Y12" t="n">
        <x:f>INDEX('Monthly Data'!$M$2:$M$37,MATCH($O$1,'Monthly Data'!$B$2:$B$37,0))</x:f>
        <x:v>129</x:v>
      </x:c>
    </x:row>
    <x:row r="13" ht="22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X13" t="str">
        <x:v>Churn Rate</x:v>
      </x:c>
      <x:c r="Y13" t="n">
        <x:f>INDEX('Monthly Data'!$N$2:$N$37,MATCH($O$1,'Monthly Data'!$B$2:$B$37,0))</x:f>
        <x:v>0.02376783340283947</x:v>
      </x:c>
    </x:row>
    <x:row r="14" ht="22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X14" t="str">
        <x:v>Lead Qualification Rate</x:v>
      </x:c>
      <x:c r="Y14" t="n">
        <x:f>INDEX('Monthly Data'!$O$2:$O$37,MATCH($O$1,'Monthly Data'!$B$2:$B$37,0))</x:f>
        <x:v>0.5104934770277936</x:v>
      </x:c>
    </x:row>
    <x:row r="15" ht="22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X15" t="str">
        <x:v>Opportunity Conversion</x:v>
      </x:c>
      <x:c r="Y15" t="n">
        <x:f>INDEX('Monthly Data'!$P$2:$P$37,MATCH($O$1,'Monthly Data'!$B$2:$B$37,0))</x:f>
        <x:v>0.4444444444444444</x:v>
      </x:c>
    </x:row>
    <x:row r="16" ht="22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X16" t="str">
        <x:v>Win Rate</x:v>
      </x:c>
      <x:c r="Y16" t="n">
        <x:f>INDEX('Monthly Data'!$Q$2:$Q$37,MATCH($O$1,'Monthly Data'!$B$2:$B$37,0))</x:f>
        <x:v>0.3225</x:v>
      </x:c>
    </x:row>
    <x:row r="17" ht="22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X17" t="str">
        <x:v>Target Attainment</x:v>
      </x:c>
      <x:c r="Y17" t="n">
        <x:f>INDEX('Monthly Data'!$R$2:$R$37,MATCH($O$1,'Monthly Data'!$B$2:$B$37,0))</x:f>
        <x:v>0.9110044566335276</x:v>
      </x:c>
    </x:row>
    <x:row r="18" ht="22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</x:row>
    <x:row r="19" ht="22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</x:row>
    <x:row r="20" ht="22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</x:row>
    <x:row r="21" ht="22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</x:row>
    <x:row r="22" ht="22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X22" t="str">
        <x:v>Month</x:v>
      </x:c>
      <x:c r="Y22" t="str">
        <x:v>Revenue</x:v>
      </x:c>
      <x:c r="Z22" t="str">
        <x:v>Target</x:v>
      </x:c>
      <x:c r="AA22" t="str">
        <x:v>Prior Year</x:v>
      </x:c>
      <x:c r="AC22" t="str">
        <x:v>Stage</x:v>
      </x:c>
      <x:c r="AD22" t="str">
        <x:v>Count</x:v>
      </x:c>
      <x:c r="AF22" t="str">
        <x:v>Sales Rep</x:v>
      </x:c>
      <x:c r="AG22" t="str">
        <x:v>Revenue</x:v>
      </x:c>
      <x:c r="AH22" t="str">
        <x:v>Target</x:v>
      </x:c>
      <x:c r="AI22" t="str">
        <x:v>Win Rate</x:v>
      </x:c>
      <x:c r="AJ22" t="str">
        <x:v>Won Deals</x:v>
      </x:c>
    </x:row>
    <x:row r="23" ht="22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X23" t="str">
        <x:f>'Monthly Data'!B26</x:f>
        <x:v>2026-01</x:v>
      </x:c>
      <x:c r="Y23" t="n">
        <x:f>'Monthly Data'!I26</x:f>
        <x:v>2152700</x:v>
      </x:c>
      <x:c r="Z23" t="n">
        <x:f>'Monthly Data'!J26</x:f>
        <x:v>2245000</x:v>
      </x:c>
      <x:c r="AA23" t="n">
        <x:f>IFERROR(INDEX('Monthly Data'!$I$2:$I$37,MATCH(TEXT(DATE(VALUE(LEFT(X23,4))-1,VALUE(RIGHT(X23,2)),1),"yyyy-mm"),'Monthly Data'!$B$2:$B$37,0)),0)</x:f>
        <x:v>1764000</x:v>
      </x:c>
      <x:c r="AC23" t="str">
        <x:v>New Leads</x:v>
      </x:c>
      <x:c r="AD23" t="n">
        <x:f>Y2</x:f>
        <x:v>1763</x:v>
      </x:c>
      <x:c r="AF23" t="str">
        <x:v>Ayşe Demir</x:v>
      </x:c>
      <x:c r="AG23" t="n">
        <x:f>SUMIFS('Rep Performance'!$G$2:$G$181,'Rep Performance'!$B$2:$B$181,$O$1,'Rep Performance'!$C$2:$C$181,AF23)</x:f>
        <x:v>455000</x:v>
      </x:c>
      <x:c r="AH23" t="n">
        <x:f>SUMIFS('Rep Performance'!$H$2:$H$181,'Rep Performance'!$B$2:$B$181,$O$1,'Rep Performance'!$C$2:$C$181,AF23)</x:f>
        <x:v>671000</x:v>
      </x:c>
      <x:c r="AI23" t="n">
        <x:f>SUMIFS('Rep Performance'!$F$2:$F$181,'Rep Performance'!$B$2:$B$181,$O$1,'Rep Performance'!$C$2:$C$181,AF23)/SUMIFS('Rep Performance'!$E$2:$E$181,'Rep Performance'!$B$2:$B$181,$O$1,'Rep Performance'!$C$2:$C$181,AF23)</x:f>
        <x:v>0.2608695652173913</x:v>
      </x:c>
      <x:c r="AJ23" t="n">
        <x:f>SUMIFS('Rep Performance'!$F$2:$F$181,'Rep Performance'!$B$2:$B$181,$O$1,'Rep Performance'!$C$2:$C$181,AF23)</x:f>
        <x:v>24</x:v>
      </x:c>
    </x:row>
    <x:row r="24" ht="22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X24" t="str">
        <x:f>'Monthly Data'!B27</x:f>
        <x:v>2026-02</x:v>
      </x:c>
      <x:c r="Y24" t="n">
        <x:f>'Monthly Data'!I27</x:f>
        <x:v>2173600</x:v>
      </x:c>
      <x:c r="Z24" t="n">
        <x:f>'Monthly Data'!J27</x:f>
        <x:v>2319000</x:v>
      </x:c>
      <x:c r="AA24" t="n">
        <x:f>IFERROR(INDEX('Monthly Data'!$I$2:$I$37,MATCH(TEXT(DATE(VALUE(LEFT(X24,4))-1,VALUE(RIGHT(X24,2)),1),"yyyy-mm"),'Monthly Data'!$B$2:$B$37,0)),0)</x:f>
        <x:v>1724800</x:v>
      </x:c>
      <x:c r="AC24" t="str">
        <x:v>Qualified</x:v>
      </x:c>
      <x:c r="AD24" t="n">
        <x:f>Y4</x:f>
        <x:v>900</x:v>
      </x:c>
      <x:c r="AF24" t="str">
        <x:v>Emre Kaya</x:v>
      </x:c>
      <x:c r="AG24" t="n">
        <x:f>SUMIFS('Rep Performance'!$G$2:$G$181,'Rep Performance'!$B$2:$B$181,$O$1,'Rep Performance'!$C$2:$C$181,AF24)</x:f>
        <x:v>497000</x:v>
      </x:c>
      <x:c r="AH24" t="n">
        <x:f>SUMIFS('Rep Performance'!$H$2:$H$181,'Rep Performance'!$B$2:$B$181,$O$1,'Rep Performance'!$C$2:$C$181,AF24)</x:f>
        <x:v>613000</x:v>
      </x:c>
      <x:c r="AI24" t="n">
        <x:f>SUMIFS('Rep Performance'!$F$2:$F$181,'Rep Performance'!$B$2:$B$181,$O$1,'Rep Performance'!$C$2:$C$181,AF24)/SUMIFS('Rep Performance'!$E$2:$E$181,'Rep Performance'!$B$2:$B$181,$O$1,'Rep Performance'!$C$2:$C$181,AF24)</x:f>
        <x:v>0.2976190476190476</x:v>
      </x:c>
      <x:c r="AJ24" t="n">
        <x:f>SUMIFS('Rep Performance'!$F$2:$F$181,'Rep Performance'!$B$2:$B$181,$O$1,'Rep Performance'!$C$2:$C$181,AF24)</x:f>
        <x:v>25</x:v>
      </x:c>
    </x:row>
    <x:row r="25" ht="22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X25" t="str">
        <x:f>'Monthly Data'!B28</x:f>
        <x:v>2026-03</x:v>
      </x:c>
      <x:c r="Y25" t="n">
        <x:f>'Monthly Data'!I28</x:f>
        <x:v>2382600</x:v>
      </x:c>
      <x:c r="Z25" t="n">
        <x:f>'Monthly Data'!J28</x:f>
        <x:v>2467000</x:v>
      </x:c>
      <x:c r="AA25" t="n">
        <x:f>IFERROR(INDEX('Monthly Data'!$I$2:$I$37,MATCH(TEXT(DATE(VALUE(LEFT(X25,4))-1,VALUE(RIGHT(X25,2)),1),"yyyy-mm"),'Monthly Data'!$B$2:$B$37,0)),0)</x:f>
        <x:v>1755000</x:v>
      </x:c>
      <x:c r="AC25" t="str">
        <x:v>Opportunities</x:v>
      </x:c>
      <x:c r="AD25" t="n">
        <x:f>Y5</x:f>
        <x:v>400</x:v>
      </x:c>
      <x:c r="AF25" t="str">
        <x:v>Selin Yılmaz</x:v>
      </x:c>
      <x:c r="AG25" t="n">
        <x:f>SUMIFS('Rep Performance'!$G$2:$G$181,'Rep Performance'!$B$2:$B$181,$O$1,'Rep Performance'!$C$2:$C$181,AF25)</x:f>
        <x:v>624000</x:v>
      </x:c>
      <x:c r="AH25" t="n">
        <x:f>SUMIFS('Rep Performance'!$H$2:$H$181,'Rep Performance'!$B$2:$B$181,$O$1,'Rep Performance'!$C$2:$C$181,AF25)</x:f>
        <x:v>583000</x:v>
      </x:c>
      <x:c r="AI25" t="n">
        <x:f>SUMIFS('Rep Performance'!$F$2:$F$181,'Rep Performance'!$B$2:$B$181,$O$1,'Rep Performance'!$C$2:$C$181,AF25)/SUMIFS('Rep Performance'!$E$2:$E$181,'Rep Performance'!$B$2:$B$181,$O$1,'Rep Performance'!$C$2:$C$181,AF25)</x:f>
        <x:v>0.33707865168539325</x:v>
      </x:c>
      <x:c r="AJ25" t="n">
        <x:f>SUMIFS('Rep Performance'!$F$2:$F$181,'Rep Performance'!$B$2:$B$181,$O$1,'Rep Performance'!$C$2:$C$181,AF25)</x:f>
        <x:v>30</x:v>
      </x:c>
    </x:row>
    <x:row r="26" ht="22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X26" t="str">
        <x:f>'Monthly Data'!B29</x:f>
        <x:v>2026-04</x:v>
      </x:c>
      <x:c r="Y26" t="n">
        <x:f>'Monthly Data'!I29</x:f>
        <x:v>2475200</x:v>
      </x:c>
      <x:c r="Z26" t="n">
        <x:f>'Monthly Data'!J29</x:f>
        <x:v>2553000</x:v>
      </x:c>
      <x:c r="AA26" t="n">
        <x:f>IFERROR(INDEX('Monthly Data'!$I$2:$I$37,MATCH(TEXT(DATE(VALUE(LEFT(X26,4))-1,VALUE(RIGHT(X26,2)),1),"yyyy-mm"),'Monthly Data'!$B$2:$B$37,0)),0)</x:f>
        <x:v>1872100</x:v>
      </x:c>
      <x:c r="AC26" t="str">
        <x:v>Won Deals</x:v>
      </x:c>
      <x:c r="AD26" t="n">
        <x:f>Y6</x:f>
        <x:v>129</x:v>
      </x:c>
      <x:c r="AF26" t="str">
        <x:v>Can Arslan</x:v>
      </x:c>
      <x:c r="AG26" t="n">
        <x:f>SUMIFS('Rep Performance'!$G$2:$G$181,'Rep Performance'!$B$2:$B$181,$O$1,'Rep Performance'!$C$2:$C$181,AF26)</x:f>
        <x:v>695000</x:v>
      </x:c>
      <x:c r="AH26" t="n">
        <x:f>SUMIFS('Rep Performance'!$H$2:$H$181,'Rep Performance'!$B$2:$B$181,$O$1,'Rep Performance'!$C$2:$C$181,AF26)</x:f>
        <x:v>554000</x:v>
      </x:c>
      <x:c r="AI26" t="n">
        <x:f>SUMIFS('Rep Performance'!$F$2:$F$181,'Rep Performance'!$B$2:$B$181,$O$1,'Rep Performance'!$C$2:$C$181,AF26)/SUMIFS('Rep Performance'!$E$2:$E$181,'Rep Performance'!$B$2:$B$181,$O$1,'Rep Performance'!$C$2:$C$181,AF26)</x:f>
        <x:v>0.34408602150537637</x:v>
      </x:c>
      <x:c r="AJ26" t="n">
        <x:f>SUMIFS('Rep Performance'!$F$2:$F$181,'Rep Performance'!$B$2:$B$181,$O$1,'Rep Performance'!$C$2:$C$181,AF26)</x:f>
        <x:v>32</x:v>
      </x:c>
    </x:row>
    <x:row r="27" ht="22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X27" t="str">
        <x:f>'Monthly Data'!B30</x:f>
        <x:v>2026-05</x:v>
      </x:c>
      <x:c r="Y27" t="n">
        <x:f>'Monthly Data'!I30</x:f>
        <x:v>2410200</x:v>
      </x:c>
      <x:c r="Z27" t="n">
        <x:f>'Monthly Data'!J30</x:f>
        <x:v>2602000</x:v>
      </x:c>
      <x:c r="AA27" t="n">
        <x:f>IFERROR(INDEX('Monthly Data'!$I$2:$I$37,MATCH(TEXT(DATE(VALUE(LEFT(X27,4))-1,VALUE(RIGHT(X27,2)),1),"yyyy-mm"),'Monthly Data'!$B$2:$B$37,0)),0)</x:f>
        <x:v>1948200</x:v>
      </x:c>
      <x:c r="AC27" t="str">
        <x:v>New Customers</x:v>
      </x:c>
      <x:c r="AD27" t="n">
        <x:f>Y12</x:f>
        <x:v>129</x:v>
      </x:c>
      <x:c r="AF27" t="str">
        <x:v>Deniz Koç</x:v>
      </x:c>
      <x:c r="AG27" t="n">
        <x:f>SUMIFS('Rep Performance'!$G$2:$G$181,'Rep Performance'!$B$2:$B$181,$O$1,'Rep Performance'!$C$2:$C$181,AF27)</x:f>
        <x:v>634000</x:v>
      </x:c>
      <x:c r="AH27" t="n">
        <x:f>SUMIFS('Rep Performance'!$H$2:$H$181,'Rep Performance'!$B$2:$B$181,$O$1,'Rep Performance'!$C$2:$C$181,AF27)</x:f>
        <x:v>496000</x:v>
      </x:c>
      <x:c r="AI27" t="n">
        <x:f>SUMIFS('Rep Performance'!$F$2:$F$181,'Rep Performance'!$B$2:$B$181,$O$1,'Rep Performance'!$C$2:$C$181,AF27)/SUMIFS('Rep Performance'!$E$2:$E$181,'Rep Performance'!$B$2:$B$181,$O$1,'Rep Performance'!$C$2:$C$181,AF27)</x:f>
        <x:v>0.345679012345679</x:v>
      </x:c>
      <x:c r="AJ27" t="n">
        <x:f>SUMIFS('Rep Performance'!$F$2:$F$181,'Rep Performance'!$B$2:$B$181,$O$1,'Rep Performance'!$C$2:$C$181,AF27)</x:f>
        <x:v>28</x:v>
      </x:c>
    </x:row>
    <x:row r="28" ht="22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X28" t="str">
        <x:f>'Monthly Data'!B31</x:f>
        <x:v>2026-06</x:v>
      </x:c>
      <x:c r="Y28" t="n">
        <x:f>'Monthly Data'!I31</x:f>
        <x:v>2212700</x:v>
      </x:c>
      <x:c r="Z28" t="n">
        <x:f>'Monthly Data'!J31</x:f>
        <x:v>2444000</x:v>
      </x:c>
      <x:c r="AA28" t="n">
        <x:f>IFERROR(INDEX('Monthly Data'!$I$2:$I$37,MATCH(TEXT(DATE(VALUE(LEFT(X28,4))-1,VALUE(RIGHT(X28,2)),1),"yyyy-mm"),'Monthly Data'!$B$2:$B$37,0)),0)</x:f>
        <x:v>1776600</x:v>
      </x:c>
    </x:row>
    <x:row r="29" ht="22" customHeight="1">
      <x:c r="A29" s="5"/>
      <x:c r="B29" s="5"/>
      <x:c r="C29" s="5"/>
      <x:c r="D29" s="5"/>
      <x:c r="E29" s="5"/>
      <x:c r="F29" s="5"/>
      <x:c r="G29" s="5"/>
      <x:c r="H29" s="5"/>
      <x:c r="I29" s="58" t="str">
        <x:v>SELECTED MONTH PERFORMANCE DETAIL</x:v>
      </x:c>
      <x:c r="J29" s="5"/>
      <x:c r="K29" s="5"/>
      <x:c r="L29" s="5"/>
      <x:c r="M29" s="5"/>
      <x:c r="N29" s="5"/>
      <x:c r="O29" s="5"/>
      <x:c r="P29" s="5"/>
      <x:c r="X29" t="str">
        <x:f>'Monthly Data'!B32</x:f>
        <x:v>2026-07</x:v>
      </x:c>
      <x:c r="Y29" t="n">
        <x:f>'Monthly Data'!I32</x:f>
        <x:v>2121000</x:v>
      </x:c>
      <x:c r="Z29" t="n">
        <x:f>'Monthly Data'!J32</x:f>
        <x:v>2288000</x:v>
      </x:c>
      <x:c r="AA29" t="n">
        <x:f>IFERROR(INDEX('Monthly Data'!$I$2:$I$37,MATCH(TEXT(DATE(VALUE(LEFT(X29,4))-1,VALUE(RIGHT(X29,2)),1),"yyyy-mm"),'Monthly Data'!$B$2:$B$37,0)),0)</x:f>
        <x:v>1664300</x:v>
      </x:c>
    </x:row>
    <x:row r="30" ht="22" customHeight="1">
      <x:c r="A30" s="5"/>
      <x:c r="B30" s="5"/>
      <x:c r="C30" s="5"/>
      <x:c r="D30" s="5"/>
      <x:c r="E30" s="5"/>
      <x:c r="F30" s="5"/>
      <x:c r="G30" s="5"/>
      <x:c r="H30" s="5"/>
      <x:c r="I30" s="59" t="str">
        <x:v>Metric</x:v>
      </x:c>
      <x:c r="J30" s="60" t="str">
        <x:v>Actual</x:v>
      </x:c>
      <x:c r="K30" s="60" t="str">
        <x:v>Target</x:v>
      </x:c>
      <x:c r="L30" s="60" t="str">
        <x:v>Variance</x:v>
      </x:c>
      <x:c r="M30" s="60" t="str">
        <x:v>YoY / Rate</x:v>
      </x:c>
      <x:c r="N30" s="60" t="str"/>
      <x:c r="O30" s="60" t="str"/>
      <x:c r="P30" s="61" t="str"/>
      <x:c r="X30" t="str">
        <x:f>'Monthly Data'!B33</x:f>
        <x:v>2026-08</x:v>
      </x:c>
      <x:c r="Y30" t="n">
        <x:f>'Monthly Data'!I33</x:f>
        <x:v>2130600</x:v>
      </x:c>
      <x:c r="Z30" t="n">
        <x:f>'Monthly Data'!J33</x:f>
        <x:v>2326000</x:v>
      </x:c>
      <x:c r="AA30" t="n">
        <x:f>IFERROR(INDEX('Monthly Data'!$I$2:$I$37,MATCH(TEXT(DATE(VALUE(LEFT(X30,4))-1,VALUE(RIGHT(X30,2)),1),"yyyy-mm"),'Monthly Data'!$B$2:$B$37,0)),0)</x:f>
        <x:v>1813900</x:v>
      </x:c>
    </x:row>
    <x:row r="31" ht="22" customHeight="1">
      <x:c r="A31" s="5"/>
      <x:c r="B31" s="5"/>
      <x:c r="C31" s="5"/>
      <x:c r="D31" s="5"/>
      <x:c r="E31" s="5"/>
      <x:c r="F31" s="5"/>
      <x:c r="G31" s="5"/>
      <x:c r="H31" s="5"/>
      <x:c r="I31" s="63" t="str">
        <x:v>New Leads</x:v>
      </x:c>
      <x:c r="J31" s="66" t="n">
        <x:f>Y2</x:f>
        <x:v>1763</x:v>
      </x:c>
      <x:c r="K31" s="66" t="n">
        <x:f>Y3</x:f>
        <x:v>1815</x:v>
      </x:c>
      <x:c r="L31" s="66" t="n">
        <x:f>J31-K31</x:f>
        <x:v>-52</x:v>
      </x:c>
      <x:c r="M31" s="71" t="n">
        <x:f>IFERROR(J31/Z2-1,0)</x:f>
        <x:v>0.08626001232285896</x:v>
      </x:c>
      <x:c r="N31" s="73" t="str">
        <x:v>Status logic</x:v>
      </x:c>
      <x:c r="O31" s="5"/>
      <x:c r="P31" s="5"/>
      <x:c r="X31" t="str">
        <x:f>'Monthly Data'!B34</x:f>
        <x:v>2026-09</x:v>
      </x:c>
      <x:c r="Y31" t="n">
        <x:f>'Monthly Data'!I34</x:f>
        <x:v>2211000</x:v>
      </x:c>
      <x:c r="Z31" t="n">
        <x:f>'Monthly Data'!J34</x:f>
        <x:v>2515000</x:v>
      </x:c>
      <x:c r="AA31" t="n">
        <x:f>IFERROR(INDEX('Monthly Data'!$I$2:$I$37,MATCH(TEXT(DATE(VALUE(LEFT(X31,4))-1,VALUE(RIGHT(X31,2)),1),"yyyy-mm"),'Monthly Data'!$B$2:$B$37,0)),0)</x:f>
        <x:v>1992800</x:v>
      </x:c>
    </x:row>
    <x:row r="32" ht="22" customHeight="1">
      <x:c r="A32" s="5"/>
      <x:c r="B32" s="5"/>
      <x:c r="C32" s="5"/>
      <x:c r="D32" s="5"/>
      <x:c r="E32" s="5"/>
      <x:c r="F32" s="5"/>
      <x:c r="G32" s="5"/>
      <x:c r="H32" s="5"/>
      <x:c r="I32" s="64" t="str">
        <x:v>Qualified Leads</x:v>
      </x:c>
      <x:c r="J32" s="67" t="n">
        <x:f>Y4</x:f>
        <x:v>900</x:v>
      </x:c>
      <x:c r="K32" s="67" t="n">
        <x:f>Y3*53%</x:f>
        <x:v>961.95</x:v>
      </x:c>
      <x:c r="L32" s="67" t="n">
        <x:f>J32-K32</x:f>
        <x:v>-61.950000000000045</x:v>
      </x:c>
      <x:c r="M32" s="72" t="n">
        <x:f>Y14</x:f>
        <x:v>0.5104934770277936</x:v>
      </x:c>
      <x:c r="N32" s="74" t="str">
        <x:v>Green = target met</x:v>
      </x:c>
      <x:c r="O32" s="5"/>
      <x:c r="P32" s="5"/>
      <x:c r="X32" t="str">
        <x:f>'Monthly Data'!B35</x:f>
        <x:v>2026-10</x:v>
      </x:c>
      <x:c r="Y32" t="n">
        <x:f>'Monthly Data'!I35</x:f>
        <x:v>2343200</x:v>
      </x:c>
      <x:c r="Z32" t="n">
        <x:f>'Monthly Data'!J35</x:f>
        <x:v>2646000</x:v>
      </x:c>
      <x:c r="AA32" t="n">
        <x:f>IFERROR(INDEX('Monthly Data'!$I$2:$I$37,MATCH(TEXT(DATE(VALUE(LEFT(X32,4))-1,VALUE(RIGHT(X32,2)),1),"yyyy-mm"),'Monthly Data'!$B$2:$B$37,0)),0)</x:f>
        <x:v>2041200</x:v>
      </x:c>
    </x:row>
    <x:row r="33" ht="22" customHeight="1">
      <x:c r="A33" s="5"/>
      <x:c r="B33" s="5"/>
      <x:c r="C33" s="5"/>
      <x:c r="D33" s="5"/>
      <x:c r="E33" s="5"/>
      <x:c r="F33" s="5"/>
      <x:c r="G33" s="5"/>
      <x:c r="H33" s="5"/>
      <x:c r="I33" s="64" t="str">
        <x:v>Opportunities</x:v>
      </x:c>
      <x:c r="J33" s="67" t="n">
        <x:f>Y5</x:f>
        <x:v>400</x:v>
      </x:c>
      <x:c r="K33" s="67" t="n">
        <x:f>Y4*46%</x:f>
        <x:v>414</x:v>
      </x:c>
      <x:c r="L33" s="67" t="n">
        <x:f>J33-K33</x:f>
        <x:v>-14</x:v>
      </x:c>
      <x:c r="M33" s="72" t="n">
        <x:f>Y15</x:f>
        <x:v>0.4444444444444444</x:v>
      </x:c>
      <x:c r="N33" s="75" t="str">
        <x:v>Amber = within 10%</x:v>
      </x:c>
      <x:c r="O33" s="5"/>
      <x:c r="P33" s="5"/>
      <x:c r="X33" t="str">
        <x:f>'Monthly Data'!B36</x:f>
        <x:v>2026-11</x:v>
      </x:c>
      <x:c r="Y33" t="n">
        <x:f>'Monthly Data'!I36</x:f>
        <x:v>2529600</x:v>
      </x:c>
      <x:c r="Z33" t="n">
        <x:f>'Monthly Data'!J36</x:f>
        <x:v>2769000</x:v>
      </x:c>
      <x:c r="AA33" t="n">
        <x:f>IFERROR(INDEX('Monthly Data'!$I$2:$I$37,MATCH(TEXT(DATE(VALUE(LEFT(X33,4))-1,VALUE(RIGHT(X33,2)),1),"yyyy-mm"),'Monthly Data'!$B$2:$B$37,0)),0)</x:f>
        <x:v>2227200</x:v>
      </x:c>
    </x:row>
    <x:row r="34" ht="22" customHeight="1">
      <x:c r="A34" s="5"/>
      <x:c r="B34" s="5"/>
      <x:c r="C34" s="5"/>
      <x:c r="D34" s="5"/>
      <x:c r="E34" s="5"/>
      <x:c r="F34" s="5"/>
      <x:c r="G34" s="5"/>
      <x:c r="H34" s="5"/>
      <x:c r="I34" s="64" t="str">
        <x:v>Won Deals</x:v>
      </x:c>
      <x:c r="J34" s="67" t="n">
        <x:f>Y6</x:f>
        <x:v>129</x:v>
      </x:c>
      <x:c r="K34" s="67" t="n">
        <x:f>Y5*32%</x:f>
        <x:v>128</x:v>
      </x:c>
      <x:c r="L34" s="67" t="n">
        <x:f>J34-K34</x:f>
        <x:v>1</x:v>
      </x:c>
      <x:c r="M34" s="72" t="n">
        <x:f>Y16</x:f>
        <x:v>0.3225</x:v>
      </x:c>
      <x:c r="N34" s="76" t="str">
        <x:v>Red = &gt;10% below</x:v>
      </x:c>
      <x:c r="O34" s="5"/>
      <x:c r="P34" s="5"/>
      <x:c r="X34" t="str">
        <x:f>'Monthly Data'!B37</x:f>
        <x:v>2026-12</x:v>
      </x:c>
      <x:c r="Y34" t="n">
        <x:f>'Monthly Data'!I37</x:f>
        <x:v>2657400</x:v>
      </x:c>
      <x:c r="Z34" t="n">
        <x:f>'Monthly Data'!J37</x:f>
        <x:v>2917000</x:v>
      </x:c>
      <x:c r="AA34" t="n">
        <x:f>IFERROR(INDEX('Monthly Data'!$I$2:$I$37,MATCH(TEXT(DATE(VALUE(LEFT(X34,4))-1,VALUE(RIGHT(X34,2)),1),"yyyy-mm"),'Monthly Data'!$B$2:$B$37,0)),0)</x:f>
        <x:v>2444400</x:v>
      </x:c>
    </x:row>
    <x:row r="35" ht="22" customHeight="1">
      <x:c r="A35" s="5"/>
      <x:c r="B35" s="5"/>
      <x:c r="C35" s="5"/>
      <x:c r="D35" s="5"/>
      <x:c r="E35" s="5"/>
      <x:c r="F35" s="5"/>
      <x:c r="G35" s="5"/>
      <x:c r="H35" s="5"/>
      <x:c r="I35" s="64" t="str">
        <x:v>Won Revenue</x:v>
      </x:c>
      <x:c r="J35" s="68" t="n">
        <x:f>Y8</x:f>
        <x:v>2657400</x:v>
      </x:c>
      <x:c r="K35" s="68" t="n">
        <x:f>Y9</x:f>
        <x:v>2917000</x:v>
      </x:c>
      <x:c r="L35" s="68" t="n">
        <x:f>J35-K35</x:f>
        <x:v>-259600</x:v>
      </x:c>
      <x:c r="M35" s="72" t="n">
        <x:f>IFERROR(J35/AA2-1,0)</x:f>
        <x:v>0.08713794796269014</x:v>
      </x:c>
      <x:c r="N35" s="5"/>
      <x:c r="O35" s="5"/>
      <x:c r="P35" s="5"/>
    </x:row>
    <x:row r="36" ht="22" customHeight="1">
      <x:c r="A36" s="5"/>
      <x:c r="B36" s="5"/>
      <x:c r="C36" s="5"/>
      <x:c r="D36" s="5"/>
      <x:c r="E36" s="5"/>
      <x:c r="F36" s="5"/>
      <x:c r="G36" s="5"/>
      <x:c r="H36" s="5"/>
      <x:c r="I36" s="64" t="str">
        <x:v>Avg Deal Size</x:v>
      </x:c>
      <x:c r="J36" s="68" t="n">
        <x:f>Y7</x:f>
        <x:v>20600</x:v>
      </x:c>
      <x:c r="K36" s="68" t="n">
        <x:f>Y9/(Y5*32%)</x:f>
        <x:v>22789.0625</x:v>
      </x:c>
      <x:c r="L36" s="68" t="n">
        <x:f>J36-K36</x:f>
        <x:v>-2189.0625</x:v>
      </x:c>
      <x:c r="M36" s="72" t="n">
        <x:f>Y7/(Y9/(Y5*32%))-1</x:f>
        <x:v>-0.0960575934178951</x:v>
      </x:c>
      <x:c r="N36" s="5"/>
      <x:c r="O36" s="5"/>
      <x:c r="P36" s="5"/>
    </x:row>
    <x:row r="37" ht="22" customHeight="1">
      <x:c r="A37" s="5"/>
      <x:c r="B37" s="5"/>
      <x:c r="C37" s="5"/>
      <x:c r="D37" s="5"/>
      <x:c r="E37" s="5"/>
      <x:c r="F37" s="5"/>
      <x:c r="G37" s="5"/>
      <x:c r="H37" s="5"/>
      <x:c r="I37" s="64" t="str">
        <x:v>Sales Cycle Days</x:v>
      </x:c>
      <x:c r="J37" s="69" t="n">
        <x:f>Y11</x:f>
        <x:v>47</x:v>
      </x:c>
      <x:c r="K37" s="69" t="n">
        <x:f>48</x:f>
        <x:v>48</x:v>
      </x:c>
      <x:c r="L37" s="69" t="n">
        <x:f>K37-J37</x:f>
        <x:v>1</x:v>
      </x:c>
      <x:c r="M37" s="72" t="n">
        <x:f>Y11/48-1</x:f>
        <x:v>-0.02083333333333337</x:v>
      </x:c>
      <x:c r="N37" s="5"/>
      <x:c r="O37" s="5"/>
      <x:c r="P37" s="5"/>
    </x:row>
    <x:row r="38" ht="22" customHeight="1">
      <x:c r="A38" s="5"/>
      <x:c r="B38" s="5"/>
      <x:c r="C38" s="5"/>
      <x:c r="D38" s="5"/>
      <x:c r="E38" s="5"/>
      <x:c r="F38" s="5"/>
      <x:c r="G38" s="5"/>
      <x:c r="H38" s="5"/>
      <x:c r="I38" s="65" t="str">
        <x:v>Target Attainment</x:v>
      </x:c>
      <x:c r="J38" s="70" t="n">
        <x:f>Y17</x:f>
        <x:v>0.9110044566335276</x:v>
      </x:c>
      <x:c r="K38" s="70" t="n">
        <x:f>100%</x:f>
        <x:v>1</x:v>
      </x:c>
      <x:c r="L38" s="70" t="n">
        <x:f>J38-K38</x:f>
        <x:v>-0.08899554336647242</x:v>
      </x:c>
      <x:c r="M38" s="70" t="n">
        <x:f>Y17</x:f>
        <x:v>0.9110044566335276</x:v>
      </x:c>
      <x:c r="N38" s="5"/>
      <x:c r="O38" s="5"/>
      <x:c r="P38" s="5"/>
    </x:row>
    <x:row r="39" ht="22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</x:row>
    <x:row r="40" ht="22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</x:row>
    <x:row r="41" ht="22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</x:row>
    <x:row r="42" ht="22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</x:row>
    <x:row r="43" ht="22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</x:row>
    <x:row r="44" ht="22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</x:row>
  </x:sheetData>
  <x:mergeCells>
    <x:mergeCell ref="A1:P2"/>
    <x:mergeCell ref="A3:H3"/>
    <x:mergeCell ref="M1:N1"/>
    <x:mergeCell ref="O1:P2"/>
    <x:mergeCell ref="M3:P3"/>
    <x:mergeCell ref="A5:D5"/>
    <x:mergeCell ref="A6:D7"/>
    <x:mergeCell ref="A8:D8"/>
    <x:mergeCell ref="A9:D9"/>
    <x:mergeCell ref="A10:D10"/>
    <x:mergeCell ref="E5:H5"/>
    <x:mergeCell ref="E6:H7"/>
    <x:mergeCell ref="E8:H8"/>
    <x:mergeCell ref="E9:H9"/>
    <x:mergeCell ref="E10:H10"/>
    <x:mergeCell ref="I5:L5"/>
    <x:mergeCell ref="I6:L7"/>
    <x:mergeCell ref="I8:L8"/>
    <x:mergeCell ref="I9:L9"/>
    <x:mergeCell ref="I10:L10"/>
    <x:mergeCell ref="M5:P5"/>
    <x:mergeCell ref="M6:P7"/>
    <x:mergeCell ref="M8:P8"/>
    <x:mergeCell ref="M9:P9"/>
    <x:mergeCell ref="M10:P10"/>
    <x:mergeCell ref="I29:P29"/>
    <x:mergeCell ref="N30:P30"/>
    <x:mergeCell ref="N31:P31"/>
    <x:mergeCell ref="N32:P32"/>
    <x:mergeCell ref="N33:P33"/>
    <x:mergeCell ref="N34:P34"/>
    <x:mergeCell ref="N35:P35"/>
    <x:mergeCell ref="N36:P36"/>
    <x:mergeCell ref="N37:P37"/>
    <x:mergeCell ref="N38:P38"/>
  </x:mergeCells>
  <x:conditionalFormatting sqref="L31:L38">
    <x:cfRule type="colorScale" priority="1">
      <x:colorScale>
        <x:cfvo type="min"/>
        <x:cfvo type="percentile" val="50"/>
        <x:cfvo type="max"/>
        <x:color rgb="FFFF667A"/>
        <x:color rgb="FFFFB547"/>
        <x:color rgb="FF39D98A"/>
      </x:colorScale>
    </x:cfRule>
  </x:conditionalFormatting>
  <x:dataValidations count="1">
    <x:dataValidation type="list" sqref="O1">
      <x:formula1>'Monthly Data'!$B$2:$B$37</x:formula1>
    </x:dataValidation>
  </x:dataValidations>
  <x:pageMargins left="0.7" right="0.7" top="0.75" bottom="0.75" header="0.3" footer="0.3"/>
  <x:drawing xmlns:r="http://schemas.openxmlformats.org/officeDocument/2006/relationships" r:id="R030cdc6f05774e6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t="str">
        <x:v>Month</x:v>
      </x:c>
      <x:c r="B1" t="str">
        <x:v>Month Key</x:v>
      </x:c>
      <x:c r="C1" t="str">
        <x:v>New Leads</x:v>
      </x:c>
      <x:c r="D1" t="str">
        <x:v>Lead Target</x:v>
      </x:c>
      <x:c r="E1" t="str">
        <x:v>Qualified Leads</x:v>
      </x:c>
      <x:c r="F1" t="str">
        <x:v>Opportunities</x:v>
      </x:c>
      <x:c r="G1" t="str">
        <x:v>Won Deals</x:v>
      </x:c>
      <x:c r="H1" t="str">
        <x:v>Average Deal Size</x:v>
      </x:c>
      <x:c r="I1" t="str">
        <x:v>Won Revenue</x:v>
      </x:c>
      <x:c r="J1" t="str">
        <x:v>Revenue Target</x:v>
      </x:c>
      <x:c r="K1" t="str">
        <x:v>Pipeline Value</x:v>
      </x:c>
      <x:c r="L1" t="str">
        <x:v>Sales Cycle Days</x:v>
      </x:c>
      <x:c r="M1" t="str">
        <x:v>New Customers</x:v>
      </x:c>
      <x:c r="N1" t="str">
        <x:v>Churn Rate</x:v>
      </x:c>
      <x:c r="O1" t="str">
        <x:v>Lead Qualification Rate</x:v>
      </x:c>
      <x:c r="P1" t="str">
        <x:v>Opportunity Conversion</x:v>
      </x:c>
      <x:c r="Q1" t="str">
        <x:v>Win Rate</x:v>
      </x:c>
      <x:c r="R1" t="str">
        <x:v>Target Attainment</x:v>
      </x:c>
    </x:row>
    <x:row r="2">
      <x:c r="A2" s="1" t="n">
        <x:v>45292</x:v>
      </x:c>
      <x:c r="B2" t="str">
        <x:v>2024-01</x:v>
      </x:c>
      <x:c r="C2" t="n">
        <x:v>1074</x:v>
      </x:c>
      <x:c r="D2" t="n">
        <x:v>1110</x:v>
      </x:c>
      <x:c r="E2" t="n">
        <x:v>569</x:v>
      </x:c>
      <x:c r="F2" t="n">
        <x:v>273</x:v>
      </x:c>
      <x:c r="G2" t="n">
        <x:v>85</x:v>
      </x:c>
      <x:c r="H2" s="2" t="n">
        <x:v>18300</x:v>
      </x:c>
      <x:c r="I2" s="2" t="n">
        <x:v>1555500</x:v>
      </x:c>
      <x:c r="J2" s="2" t="n">
        <x:v>1585000</x:v>
      </x:c>
      <x:c r="K2" s="2" t="n">
        <x:v>13239000</x:v>
      </x:c>
      <x:c r="L2" t="n">
        <x:v>52</x:v>
      </x:c>
      <x:c r="M2" t="n">
        <x:v>85</x:v>
      </x:c>
      <x:c r="N2" s="3" t="n">
        <x:v>0.032</x:v>
      </x:c>
      <x:c r="O2" s="3" t="n">
        <x:v>0.5297951582867784</x:v>
      </x:c>
      <x:c r="P2" s="3" t="n">
        <x:v>0.4797891036906854</x:v>
      </x:c>
      <x:c r="Q2" s="3" t="n">
        <x:v>0.31135531135531136</x:v>
      </x:c>
      <x:c r="R2" s="3" t="n">
        <x:v>0.9813880126182966</x:v>
      </x:c>
    </x:row>
    <x:row r="3">
      <x:c r="A3" s="1" t="n">
        <x:v>45323</x:v>
      </x:c>
      <x:c r="B3" t="str">
        <x:v>2024-02</x:v>
      </x:c>
      <x:c r="C3" t="n">
        <x:v>1147</x:v>
      </x:c>
      <x:c r="D3" t="n">
        <x:v>1147</x:v>
      </x:c>
      <x:c r="E3" t="n">
        <x:v>617</x:v>
      </x:c>
      <x:c r="F3" t="n">
        <x:v>296</x:v>
      </x:c>
      <x:c r="G3" t="n">
        <x:v>93</x:v>
      </x:c>
      <x:c r="H3" s="2" t="n">
        <x:v>18200</x:v>
      </x:c>
      <x:c r="I3" s="2" t="n">
        <x:v>1692600</x:v>
      </x:c>
      <x:c r="J3" s="2" t="n">
        <x:v>1629000</x:v>
      </x:c>
      <x:c r="K3" s="2" t="n">
        <x:v>14276000</x:v>
      </x:c>
      <x:c r="L3" t="n">
        <x:v>53</x:v>
      </x:c>
      <x:c r="M3" t="n">
        <x:v>93</x:v>
      </x:c>
      <x:c r="N3" s="3" t="n">
        <x:v>0.03180627179219269</x:v>
      </x:c>
      <x:c r="O3" s="3" t="n">
        <x:v>0.5379250217959896</x:v>
      </x:c>
      <x:c r="P3" s="3" t="n">
        <x:v>0.47974068071312803</x:v>
      </x:c>
      <x:c r="Q3" s="3" t="n">
        <x:v>0.3141891891891892</x:v>
      </x:c>
      <x:c r="R3" s="3" t="n">
        <x:v>1.0390423572744014</x:v>
      </x:c>
    </x:row>
    <x:row r="4">
      <x:c r="A4" s="1" t="n">
        <x:v>45352</x:v>
      </x:c>
      <x:c r="B4" t="str">
        <x:v>2024-03</x:v>
      </x:c>
      <x:c r="C4" t="n">
        <x:v>1170</x:v>
      </x:c>
      <x:c r="D4" t="n">
        <x:v>1220</x:v>
      </x:c>
      <x:c r="E4" t="n">
        <x:v>638</x:v>
      </x:c>
      <x:c r="F4" t="n">
        <x:v>305</x:v>
      </x:c>
      <x:c r="G4" t="n">
        <x:v>97</x:v>
      </x:c>
      <x:c r="H4" s="2" t="n">
        <x:v>18000</x:v>
      </x:c>
      <x:c r="I4" s="2" t="n">
        <x:v>1746000</x:v>
      </x:c>
      <x:c r="J4" s="2" t="n">
        <x:v>1713000</x:v>
      </x:c>
      <x:c r="K4" s="2" t="n">
        <x:v>14549000</x:v>
      </x:c>
      <x:c r="L4" t="n">
        <x:v>54</x:v>
      </x:c>
      <x:c r="M4" t="n">
        <x:v>97</x:v>
      </x:c>
      <x:c r="N4" s="3" t="n">
        <x:v>0.031243852478020872</x:v>
      </x:c>
      <x:c r="O4" s="3" t="n">
        <x:v>0.5452991452991452</x:v>
      </x:c>
      <x:c r="P4" s="3" t="n">
        <x:v>0.4780564263322884</x:v>
      </x:c>
      <x:c r="Q4" s="3" t="n">
        <x:v>0.3180327868852459</x:v>
      </x:c>
      <x:c r="R4" s="3" t="n">
        <x:v>1.0192644483362523</x:v>
      </x:c>
    </x:row>
    <x:row r="5">
      <x:c r="A5" s="1" t="n">
        <x:v>45383</x:v>
      </x:c>
      <x:c r="B5" t="str">
        <x:v>2024-04</x:v>
      </x:c>
      <x:c r="C5" t="n">
        <x:v>1192</x:v>
      </x:c>
      <x:c r="D5" t="n">
        <x:v>1269</x:v>
      </x:c>
      <x:c r="E5" t="n">
        <x:v>657</x:v>
      </x:c>
      <x:c r="F5" t="n">
        <x:v>312</x:v>
      </x:c>
      <x:c r="G5" t="n">
        <x:v>100</x:v>
      </x:c>
      <x:c r="H5" s="2" t="n">
        <x:v>17800</x:v>
      </x:c>
      <x:c r="I5" s="2" t="n">
        <x:v>1780000</x:v>
      </x:c>
      <x:c r="J5" s="2" t="n">
        <x:v>1762000</x:v>
      </x:c>
      <x:c r="K5" s="2" t="n">
        <x:v>14717000</x:v>
      </x:c>
      <x:c r="L5" t="n">
        <x:v>55</x:v>
      </x:c>
      <x:c r="M5" t="n">
        <x:v>100</x:v>
      </x:c>
      <x:c r="N5" s="3" t="n">
        <x:v>0.03036722030036991</x:v>
      </x:c>
      <x:c r="O5" s="3" t="n">
        <x:v>0.5511744966442953</x:v>
      </x:c>
      <x:c r="P5" s="3" t="n">
        <x:v>0.4748858447488584</x:v>
      </x:c>
      <x:c r="Q5" s="3" t="n">
        <x:v>0.32051282051282054</x:v>
      </x:c>
      <x:c r="R5" s="3" t="n">
        <x:v>1.0102156640181612</x:v>
      </x:c>
    </x:row>
    <x:row r="6">
      <x:c r="A6" s="1" t="n">
        <x:v>45413</x:v>
      </x:c>
      <x:c r="B6" t="str">
        <x:v>2024-05</x:v>
      </x:c>
      <x:c r="C6" t="n">
        <x:v>1281</x:v>
      </x:c>
      <x:c r="D6" t="n">
        <x:v>1305</x:v>
      </x:c>
      <x:c r="E6" t="n">
        <x:v>710</x:v>
      </x:c>
      <x:c r="F6" t="n">
        <x:v>334</x:v>
      </x:c>
      <x:c r="G6" t="n">
        <x:v>108</x:v>
      </x:c>
      <x:c r="H6" s="2" t="n">
        <x:v>17600</x:v>
      </x:c>
      <x:c r="I6" s="2" t="n">
        <x:v>1900800</x:v>
      </x:c>
      <x:c r="J6" s="2" t="n">
        <x:v>1792000</x:v>
      </x:c>
      <x:c r="K6" s="2" t="n">
        <x:v>15578000</x:v>
      </x:c>
      <x:c r="L6" t="n">
        <x:v>55</x:v>
      </x:c>
      <x:c r="M6" t="n">
        <x:v>108</x:v>
      </x:c>
      <x:c r="N6" s="3" t="n">
        <x:v>0.029261289449581077</x:v>
      </x:c>
      <x:c r="O6" s="3" t="n">
        <x:v>0.5542544886807181</x:v>
      </x:c>
      <x:c r="P6" s="3" t="n">
        <x:v>0.4704225352112676</x:v>
      </x:c>
      <x:c r="Q6" s="3" t="n">
        <x:v>0.32335329341317365</x:v>
      </x:c>
      <x:c r="R6" s="3" t="n">
        <x:v>1.0607142857142857</x:v>
      </x:c>
    </x:row>
    <x:row r="7">
      <x:c r="A7" s="1" t="n">
        <x:v>45444</x:v>
      </x:c>
      <x:c r="B7" t="str">
        <x:v>2024-06</x:v>
      </x:c>
      <x:c r="C7" t="n">
        <x:v>1234</x:v>
      </x:c>
      <x:c r="D7" t="n">
        <x:v>1244</x:v>
      </x:c>
      <x:c r="E7" t="n">
        <x:v>685</x:v>
      </x:c>
      <x:c r="F7" t="n">
        <x:v>319</x:v>
      </x:c>
      <x:c r="G7" t="n">
        <x:v>104</x:v>
      </x:c>
      <x:c r="H7" s="2" t="n">
        <x:v>17400</x:v>
      </x:c>
      <x:c r="I7" s="2" t="n">
        <x:v>1809600</x:v>
      </x:c>
      <x:c r="J7" s="2" t="n">
        <x:v>1689000</x:v>
      </x:c>
      <x:c r="K7" s="2" t="n">
        <x:v>14709000</x:v>
      </x:c>
      <x:c r="L7" t="n">
        <x:v>54</x:v>
      </x:c>
      <x:c r="M7" t="n">
        <x:v>104</x:v>
      </x:c>
      <x:c r="N7" s="3" t="n">
        <x:v>0.028033184926495435</x:v>
      </x:c>
      <x:c r="O7" s="3" t="n">
        <x:v>0.5551053484602917</x:v>
      </x:c>
      <x:c r="P7" s="3" t="n">
        <x:v>0.4656934306569343</x:v>
      </x:c>
      <x:c r="Q7" s="3" t="n">
        <x:v>0.32601880877742945</x:v>
      </x:c>
      <x:c r="R7" s="3" t="n">
        <x:v>1.0714031971580817</x:v>
      </x:c>
    </x:row>
    <x:row r="8">
      <x:c r="A8" s="1" t="n">
        <x:v>45474</x:v>
      </x:c>
      <x:c r="B8" t="str">
        <x:v>2024-07</x:v>
      </x:c>
      <x:c r="C8" t="n">
        <x:v>1106</x:v>
      </x:c>
      <x:c r="D8" t="n">
        <x:v>1171</x:v>
      </x:c>
      <x:c r="E8" t="n">
        <x:v>611</x:v>
      </x:c>
      <x:c r="F8" t="n">
        <x:v>282</x:v>
      </x:c>
      <x:c r="G8" t="n">
        <x:v>92</x:v>
      </x:c>
      <x:c r="H8" s="2" t="n">
        <x:v>17400</x:v>
      </x:c>
      <x:c r="I8" s="2" t="n">
        <x:v>1600800</x:v>
      </x:c>
      <x:c r="J8" s="2" t="n">
        <x:v>1590000</x:v>
      </x:c>
      <x:c r="K8" s="2" t="n">
        <x:v>13003000</x:v>
      </x:c>
      <x:c r="L8" t="n">
        <x:v>54</x:v>
      </x:c>
      <x:c r="M8" t="n">
        <x:v>92</x:v>
      </x:c>
      <x:c r="N8" s="3" t="n">
        <x:v>0.026801865975241704</x:v>
      </x:c>
      <x:c r="O8" s="3" t="n">
        <x:v>0.5524412296564195</x:v>
      </x:c>
      <x:c r="P8" s="3" t="n">
        <x:v>0.46153846153846156</x:v>
      </x:c>
      <x:c r="Q8" s="3" t="n">
        <x:v>0.3262411347517731</x:v>
      </x:c>
      <x:c r="R8" s="3" t="n">
        <x:v>1.0067924528301886</x:v>
      </x:c>
    </x:row>
    <x:row r="9">
      <x:c r="A9" s="1" t="n">
        <x:v>45505</x:v>
      </x:c>
      <x:c r="B9" t="str">
        <x:v>2024-08</x:v>
      </x:c>
      <x:c r="C9" t="n">
        <x:v>1133</x:v>
      </x:c>
      <x:c r="D9" t="n">
        <x:v>1196</x:v>
      </x:c>
      <x:c r="E9" t="n">
        <x:v>621</x:v>
      </x:c>
      <x:c r="F9" t="n">
        <x:v>283</x:v>
      </x:c>
      <x:c r="G9" t="n">
        <x:v>93</x:v>
      </x:c>
      <x:c r="H9" s="2" t="n">
        <x:v>17400</x:v>
      </x:c>
      <x:c r="I9" s="2" t="n">
        <x:v>1618200</x:v>
      </x:c>
      <x:c r="J9" s="2" t="n">
        <x:v>1624000</x:v>
      </x:c>
      <x:c r="K9" s="2" t="n">
        <x:v>13049000</x:v>
      </x:c>
      <x:c r="L9" t="n">
        <x:v>52</x:v>
      </x:c>
      <x:c r="M9" t="n">
        <x:v>93</x:v>
      </x:c>
      <x:c r="N9" s="3" t="n">
        <x:v>0.025686603202652668</x:v>
      </x:c>
      <x:c r="O9" s="3" t="n">
        <x:v>0.5481023830538394</x:v>
      </x:c>
      <x:c r="P9" s="3" t="n">
        <x:v>0.4557165861513688</x:v>
      </x:c>
      <x:c r="Q9" s="3" t="n">
        <x:v>0.3286219081272085</x:v>
      </x:c>
      <x:c r="R9" s="3" t="n">
        <x:v>0.9964285714285714</x:v>
      </x:c>
    </x:row>
    <x:row r="10">
      <x:c r="A10" s="1" t="n">
        <x:v>45536</x:v>
      </x:c>
      <x:c r="B10" t="str">
        <x:v>2024-09</x:v>
      </x:c>
      <x:c r="C10" t="n">
        <x:v>1283</x:v>
      </x:c>
      <x:c r="D10" t="n">
        <x:v>1293</x:v>
      </x:c>
      <x:c r="E10" t="n">
        <x:v>695</x:v>
      </x:c>
      <x:c r="F10" t="n">
        <x:v>314</x:v>
      </x:c>
      <x:c r="G10" t="n">
        <x:v>103</x:v>
      </x:c>
      <x:c r="H10" s="2" t="n">
        <x:v>17500</x:v>
      </x:c>
      <x:c r="I10" s="2" t="n">
        <x:v>1802500</x:v>
      </x:c>
      <x:c r="J10" s="2" t="n">
        <x:v>1765000</x:v>
      </x:c>
      <x:c r="K10" s="2" t="n">
        <x:v>14562000</x:v>
      </x:c>
      <x:c r="L10" t="n">
        <x:v>51</x:v>
      </x:c>
      <x:c r="M10" t="n">
        <x:v>103</x:v>
      </x:c>
      <x:c r="N10" s="3" t="n">
        <x:v>0.024795425537812266</x:v>
      </x:c>
      <x:c r="O10" s="3" t="n">
        <x:v>0.5416991426344505</x:v>
      </x:c>
      <x:c r="P10" s="3" t="n">
        <x:v>0.45179856115107914</x:v>
      </x:c>
      <x:c r="Q10" s="3" t="n">
        <x:v>0.32802547770700635</x:v>
      </x:c>
      <x:c r="R10" s="3" t="n">
        <x:v>1.0212464589235128</x:v>
      </x:c>
    </x:row>
    <x:row r="11">
      <x:c r="A11" s="1" t="n">
        <x:v>45566</x:v>
      </x:c>
      <x:c r="B11" t="str">
        <x:v>2024-10</x:v>
      </x:c>
      <x:c r="C11" t="n">
        <x:v>1325</x:v>
      </x:c>
      <x:c r="D11" t="n">
        <x:v>1354</x:v>
      </x:c>
      <x:c r="E11" t="n">
        <x:v>707</x:v>
      </x:c>
      <x:c r="F11" t="n">
        <x:v>316</x:v>
      </x:c>
      <x:c r="G11" t="n">
        <x:v>103</x:v>
      </x:c>
      <x:c r="H11" s="2" t="n">
        <x:v>17700</x:v>
      </x:c>
      <x:c r="I11" s="2" t="n">
        <x:v>1823100</x:v>
      </x:c>
      <x:c r="J11" s="2" t="n">
        <x:v>1870000</x:v>
      </x:c>
      <x:c r="K11" s="2" t="n">
        <x:v>14822000</x:v>
      </x:c>
      <x:c r="L11" t="n">
        <x:v>50</x:v>
      </x:c>
      <x:c r="M11" t="n">
        <x:v>103</x:v>
      </x:c>
      <x:c r="N11" s="3" t="n">
        <x:v>0.02421465610664422</x:v>
      </x:c>
      <x:c r="O11" s="3" t="n">
        <x:v>0.5335849056603773</x:v>
      </x:c>
      <x:c r="P11" s="3" t="n">
        <x:v>0.44695898161244696</x:v>
      </x:c>
      <x:c r="Q11" s="3" t="n">
        <x:v>0.3259493670886076</x:v>
      </x:c>
      <x:c r="R11" s="3" t="n">
        <x:v>0.9749197860962567</x:v>
      </x:c>
    </x:row>
    <x:row r="12">
      <x:c r="A12" s="1" t="n">
        <x:v>45597</x:v>
      </x:c>
      <x:c r="B12" t="str">
        <x:v>2024-11</x:v>
      </x:c>
      <x:c r="C12" t="n">
        <x:v>1320</x:v>
      </x:c>
      <x:c r="D12" t="n">
        <x:v>1403</x:v>
      </x:c>
      <x:c r="E12" t="n">
        <x:v>693</x:v>
      </x:c>
      <x:c r="F12" t="n">
        <x:v>308</x:v>
      </x:c>
      <x:c r="G12" t="n">
        <x:v>101</x:v>
      </x:c>
      <x:c r="H12" s="2" t="n">
        <x:v>17900</x:v>
      </x:c>
      <x:c r="I12" s="2" t="n">
        <x:v>1807900</x:v>
      </x:c>
      <x:c r="J12" s="2" t="n">
        <x:v>1959000</x:v>
      </x:c>
      <x:c r="K12" s="2" t="n">
        <x:v>14610000</x:v>
      </x:c>
      <x:c r="L12" t="n">
        <x:v>49</x:v>
      </x:c>
      <x:c r="M12" t="n">
        <x:v>101</x:v>
      </x:c>
      <x:c r="N12" s="3" t="n">
        <x:v>0.024000550619673253</x:v>
      </x:c>
      <x:c r="O12" s="3" t="n">
        <x:v>0.525</x:v>
      </x:c>
      <x:c r="P12" s="3" t="n">
        <x:v>0.4444444444444444</x:v>
      </x:c>
      <x:c r="Q12" s="3" t="n">
        <x:v>0.32792207792207795</x:v>
      </x:c>
      <x:c r="R12" s="3" t="n">
        <x:v>0.9228688106176621</x:v>
      </x:c>
    </x:row>
    <x:row r="13">
      <x:c r="A13" s="1" t="n">
        <x:v>45627</x:v>
      </x:c>
      <x:c r="B13" t="str">
        <x:v>2024-12</x:v>
      </x:c>
      <x:c r="C13" t="n">
        <x:v>1410</x:v>
      </x:c>
      <x:c r="D13" t="n">
        <x:v>1464</x:v>
      </x:c>
      <x:c r="E13" t="n">
        <x:v>730</x:v>
      </x:c>
      <x:c r="F13" t="n">
        <x:v>322</x:v>
      </x:c>
      <x:c r="G13" t="n">
        <x:v>105</x:v>
      </x:c>
      <x:c r="H13" s="2" t="n">
        <x:v>18100</x:v>
      </x:c>
      <x:c r="I13" s="2" t="n">
        <x:v>1900500</x:v>
      </x:c>
      <x:c r="J13" s="2" t="n">
        <x:v>2067000</x:v>
      </x:c>
      <x:c r="K13" s="2" t="n">
        <x:v>15445000</x:v>
      </x:c>
      <x:c r="L13" t="n">
        <x:v>49</x:v>
      </x:c>
      <x:c r="M13" t="n">
        <x:v>105</x:v>
      </x:c>
      <x:c r="N13" s="3" t="n">
        <x:v>0.02417384821303567</x:v>
      </x:c>
      <x:c r="O13" s="3" t="n">
        <x:v>0.5177304964539007</x:v>
      </x:c>
      <x:c r="P13" s="3" t="n">
        <x:v>0.4410958904109589</x:v>
      </x:c>
      <x:c r="Q13" s="3" t="n">
        <x:v>0.32608695652173914</x:v>
      </x:c>
      <x:c r="R13" s="3" t="n">
        <x:v>0.9194484760522497</x:v>
      </x:c>
    </x:row>
    <x:row r="14">
      <x:c r="A14" s="1" t="n">
        <x:v>45658</x:v>
      </x:c>
      <x:c r="B14" t="str">
        <x:v>2025-01</x:v>
      </x:c>
      <x:c r="C14" t="n">
        <x:v>1241</x:v>
      </x:c>
      <x:c r="D14" t="n">
        <x:v>1243</x:v>
      </x:c>
      <x:c r="E14" t="n">
        <x:v>634</x:v>
      </x:c>
      <x:c r="F14" t="n">
        <x:v>279</x:v>
      </x:c>
      <x:c r="G14" t="n">
        <x:v>90</x:v>
      </x:c>
      <x:c r="H14" s="2" t="n">
        <x:v>19600</x:v>
      </x:c>
      <x:c r="I14" s="2" t="n">
        <x:v>1764000</x:v>
      </x:c>
      <x:c r="J14" s="2" t="n">
        <x:v>1901000</x:v>
      </x:c>
      <x:c r="K14" s="2" t="n">
        <x:v>14491000</x:v>
      </x:c>
      <x:c r="L14" t="n">
        <x:v>46</x:v>
      </x:c>
      <x:c r="M14" t="n">
        <x:v>90</x:v>
      </x:c>
      <x:c r="N14" s="3" t="n">
        <x:v>0.02271776257064176</x:v>
      </x:c>
      <x:c r="O14" s="3" t="n">
        <x:v>0.5108783239323127</x:v>
      </x:c>
      <x:c r="P14" s="3" t="n">
        <x:v>0.4400630914826498</x:v>
      </x:c>
      <x:c r="Q14" s="3" t="n">
        <x:v>0.3225806451612903</x:v>
      </x:c>
      <x:c r="R14" s="3" t="n">
        <x:v>0.9279326670173593</x:v>
      </x:c>
    </x:row>
    <x:row r="15">
      <x:c r="A15" s="1" t="n">
        <x:v>45689</x:v>
      </x:c>
      <x:c r="B15" t="str">
        <x:v>2025-02</x:v>
      </x:c>
      <x:c r="C15" t="n">
        <x:v>1238</x:v>
      </x:c>
      <x:c r="D15" t="n">
        <x:v>1284</x:v>
      </x:c>
      <x:c r="E15" t="n">
        <x:v>627</x:v>
      </x:c>
      <x:c r="F15" t="n">
        <x:v>276</x:v>
      </x:c>
      <x:c r="G15" t="n">
        <x:v>88</x:v>
      </x:c>
      <x:c r="H15" s="2" t="n">
        <x:v>19600</x:v>
      </x:c>
      <x:c r="I15" s="2" t="n">
        <x:v>1724800</x:v>
      </x:c>
      <x:c r="J15" s="2" t="n">
        <x:v>1963000</x:v>
      </x:c>
      <x:c r="K15" s="2" t="n">
        <x:v>14335000</x:v>
      </x:c>
      <x:c r="L15" t="n">
        <x:v>47</x:v>
      </x:c>
      <x:c r="M15" t="n">
        <x:v>88</x:v>
      </x:c>
      <x:c r="N15" s="3" t="n">
        <x:v>0.02357960791564167</x:v>
      </x:c>
      <x:c r="O15" s="3" t="n">
        <x:v>0.5064620355411955</x:v>
      </x:c>
      <x:c r="P15" s="3" t="n">
        <x:v>0.44019138755980863</x:v>
      </x:c>
      <x:c r="Q15" s="3" t="n">
        <x:v>0.3188405797101449</x:v>
      </x:c>
      <x:c r="R15" s="3" t="n">
        <x:v>0.8786551197147223</x:v>
      </x:c>
    </x:row>
    <x:row r="16">
      <x:c r="A16" s="1" t="n">
        <x:v>45717</x:v>
      </x:c>
      <x:c r="B16" t="str">
        <x:v>2025-03</x:v>
      </x:c>
      <x:c r="C16" t="n">
        <x:v>1285</x:v>
      </x:c>
      <x:c r="D16" t="n">
        <x:v>1366</x:v>
      </x:c>
      <x:c r="E16" t="n">
        <x:v>649</x:v>
      </x:c>
      <x:c r="F16" t="n">
        <x:v>286</x:v>
      </x:c>
      <x:c r="G16" t="n">
        <x:v>90</x:v>
      </x:c>
      <x:c r="H16" s="2" t="n">
        <x:v>19500</x:v>
      </x:c>
      <x:c r="I16" s="2" t="n">
        <x:v>1755000</x:v>
      </x:c>
      <x:c r="J16" s="2" t="n">
        <x:v>2078000</x:v>
      </x:c>
      <x:c r="K16" s="2" t="n">
        <x:v>14779000</x:v>
      </x:c>
      <x:c r="L16" t="n">
        <x:v>48</x:v>
      </x:c>
      <x:c r="M16" t="n">
        <x:v>90</x:v>
      </x:c>
      <x:c r="N16" s="3" t="n">
        <x:v>0.024675902370988448</x:v>
      </x:c>
      <x:c r="O16" s="3" t="n">
        <x:v>0.5050583657587548</x:v>
      </x:c>
      <x:c r="P16" s="3" t="n">
        <x:v>0.4406779661016949</x:v>
      </x:c>
      <x:c r="Q16" s="3" t="n">
        <x:v>0.3146853146853147</x:v>
      </x:c>
      <x:c r="R16" s="3" t="n">
        <x:v>0.8445620789220404</x:v>
      </x:c>
    </x:row>
    <x:row r="17">
      <x:c r="A17" s="1" t="n">
        <x:v>45748</x:v>
      </x:c>
      <x:c r="B17" t="str">
        <x:v>2025-04</x:v>
      </x:c>
      <x:c r="C17" t="n">
        <x:v>1388</x:v>
      </x:c>
      <x:c r="D17" t="n">
        <x:v>1421</x:v>
      </x:c>
      <x:c r="E17" t="n">
        <x:v>702</x:v>
      </x:c>
      <x:c r="F17" t="n">
        <x:v>311</x:v>
      </x:c>
      <x:c r="G17" t="n">
        <x:v>97</x:v>
      </x:c>
      <x:c r="H17" s="2" t="n">
        <x:v>19300</x:v>
      </x:c>
      <x:c r="I17" s="2" t="n">
        <x:v>1872100</x:v>
      </x:c>
      <x:c r="J17" s="2" t="n">
        <x:v>2140000</x:v>
      </x:c>
      <x:c r="K17" s="2" t="n">
        <x:v>15906000</x:v>
      </x:c>
      <x:c r="L17" t="n">
        <x:v>50</x:v>
      </x:c>
      <x:c r="M17" t="n">
        <x:v>97</x:v>
      </x:c>
      <x:c r="N17" s="3" t="n">
        <x:v>0.025900454356650393</x:v>
      </x:c>
      <x:c r="O17" s="3" t="n">
        <x:v>0.5057636887608069</x:v>
      </x:c>
      <x:c r="P17" s="3" t="n">
        <x:v>0.443019943019943</x:v>
      </x:c>
      <x:c r="Q17" s="3" t="n">
        <x:v>0.31189710610932475</x:v>
      </x:c>
      <x:c r="R17" s="3" t="n">
        <x:v>0.8748130841121495</x:v>
      </x:c>
    </x:row>
    <x:row r="18">
      <x:c r="A18" s="1" t="n">
        <x:v>45778</x:v>
      </x:c>
      <x:c r="B18" t="str">
        <x:v>2025-05</x:v>
      </x:c>
      <x:c r="C18" t="n">
        <x:v>1448</x:v>
      </x:c>
      <x:c r="D18" t="n">
        <x:v>1462</x:v>
      </x:c>
      <x:c r="E18" t="n">
        <x:v>738</x:v>
      </x:c>
      <x:c r="F18" t="n">
        <x:v>330</x:v>
      </x:c>
      <x:c r="G18" t="n">
        <x:v>102</x:v>
      </x:c>
      <x:c r="H18" s="2" t="n">
        <x:v>19100</x:v>
      </x:c>
      <x:c r="I18" s="2" t="n">
        <x:v>1948200</x:v>
      </x:c>
      <x:c r="J18" s="2" t="n">
        <x:v>2179000</x:v>
      </x:c>
      <x:c r="K18" s="2" t="n">
        <x:v>16703000</x:v>
      </x:c>
      <x:c r="L18" t="n">
        <x:v>51</x:v>
      </x:c>
      <x:c r="M18" t="n">
        <x:v>102</x:v>
      </x:c>
      <x:c r="N18" s="3" t="n">
        <x:v>0.027134648741852903</x:v>
      </x:c>
      <x:c r="O18" s="3" t="n">
        <x:v>0.5096685082872928</x:v>
      </x:c>
      <x:c r="P18" s="3" t="n">
        <x:v>0.44715447154471544</x:v>
      </x:c>
      <x:c r="Q18" s="3" t="n">
        <x:v>0.3090909090909091</x:v>
      </x:c>
      <x:c r="R18" s="3" t="n">
        <x:v>0.8940798531436439</x:v>
      </x:c>
    </x:row>
    <x:row r="19">
      <x:c r="A19" s="1" t="n">
        <x:v>45809</x:v>
      </x:c>
      <x:c r="B19" t="str">
        <x:v>2025-06</x:v>
      </x:c>
      <x:c r="C19" t="n">
        <x:v>1326</x:v>
      </x:c>
      <x:c r="D19" t="n">
        <x:v>1394</x:v>
      </x:c>
      <x:c r="E19" t="n">
        <x:v>684</x:v>
      </x:c>
      <x:c r="F19" t="n">
        <x:v>309</x:v>
      </x:c>
      <x:c r="G19" t="n">
        <x:v>94</x:v>
      </x:c>
      <x:c r="H19" s="2" t="n">
        <x:v>18900</x:v>
      </x:c>
      <x:c r="I19" s="2" t="n">
        <x:v>1776600</x:v>
      </x:c>
      <x:c r="J19" s="2" t="n">
        <x:v>2055000</x:v>
      </x:c>
      <x:c r="K19" s="2" t="n">
        <x:v>15476000</x:v>
      </x:c>
      <x:c r="L19" t="n">
        <x:v>52</x:v>
      </x:c>
      <x:c r="M19" t="n">
        <x:v>94</x:v>
      </x:c>
      <x:c r="N19" s="3" t="n">
        <x:v>0.028258936393430426</x:v>
      </x:c>
      <x:c r="O19" s="3" t="n">
        <x:v>0.5158371040723982</x:v>
      </x:c>
      <x:c r="P19" s="3" t="n">
        <x:v>0.4517543859649123</x:v>
      </x:c>
      <x:c r="Q19" s="3" t="n">
        <x:v>0.3042071197411003</x:v>
      </x:c>
      <x:c r="R19" s="3" t="n">
        <x:v>0.8645255474452554</x:v>
      </x:c>
    </x:row>
    <x:row r="20">
      <x:c r="A20" s="1" t="n">
        <x:v>45839</x:v>
      </x:c>
      <x:c r="B20" t="str">
        <x:v>2025-07</x:v>
      </x:c>
      <x:c r="C20" t="n">
        <x:v>1241</x:v>
      </x:c>
      <x:c r="D20" t="n">
        <x:v>1312</x:v>
      </x:c>
      <x:c r="E20" t="n">
        <x:v>649</x:v>
      </x:c>
      <x:c r="F20" t="n">
        <x:v>296</x:v>
      </x:c>
      <x:c r="G20" t="n">
        <x:v>89</x:v>
      </x:c>
      <x:c r="H20" s="2" t="n">
        <x:v>18700</x:v>
      </x:c>
      <x:c r="I20" s="2" t="n">
        <x:v>1664300</x:v>
      </x:c>
      <x:c r="J20" s="2" t="n">
        <x:v>1914000</x:v>
      </x:c>
      <x:c r="K20" s="2" t="n">
        <x:v>14668000</x:v>
      </x:c>
      <x:c r="L20" t="n">
        <x:v>52</x:v>
      </x:c>
      <x:c r="M20" t="n">
        <x:v>89</x:v>
      </x:c>
      <x:c r="N20" s="3" t="n">
        <x:v>0.029164414195482956</x:v>
      </x:c>
      <x:c r="O20" s="3" t="n">
        <x:v>0.5229653505237711</x:v>
      </x:c>
      <x:c r="P20" s="3" t="n">
        <x:v>0.4560862865947612</x:v>
      </x:c>
      <x:c r="Q20" s="3" t="n">
        <x:v>0.30067567567567566</x:v>
      </x:c>
      <x:c r="R20" s="3" t="n">
        <x:v>0.8695402298850575</x:v>
      </x:c>
    </x:row>
    <x:row r="21">
      <x:c r="A21" s="1" t="n">
        <x:v>45870</x:v>
      </x:c>
      <x:c r="B21" t="str">
        <x:v>2025-08</x:v>
      </x:c>
      <x:c r="C21" t="n">
        <x:v>1325</x:v>
      </x:c>
      <x:c r="D21" t="n">
        <x:v>1339</x:v>
      </x:c>
      <x:c r="E21" t="n">
        <x:v>704</x:v>
      </x:c>
      <x:c r="F21" t="n">
        <x:v>324</x:v>
      </x:c>
      <x:c r="G21" t="n">
        <x:v>97</x:v>
      </x:c>
      <x:c r="H21" s="2" t="n">
        <x:v>18700</x:v>
      </x:c>
      <x:c r="I21" s="2" t="n">
        <x:v>1813900</x:v>
      </x:c>
      <x:c r="J21" s="2" t="n">
        <x:v>1953000</x:v>
      </x:c>
      <x:c r="K21" s="2" t="n">
        <x:v>16056000</x:v>
      </x:c>
      <x:c r="L21" t="n">
        <x:v>52</x:v>
      </x:c>
      <x:c r="M21" t="n">
        <x:v>97</x:v>
      </x:c>
      <x:c r="N21" s="3" t="n">
        <x:v>0.029763373852110017</x:v>
      </x:c>
      <x:c r="O21" s="3" t="n">
        <x:v>0.5313207547169811</x:v>
      </x:c>
      <x:c r="P21" s="3" t="n">
        <x:v>0.4602272727272727</x:v>
      </x:c>
      <x:c r="Q21" s="3" t="n">
        <x:v>0.2993827160493827</x:v>
      </x:c>
      <x:c r="R21" s="3" t="n">
        <x:v>0.9287762416794675</x:v>
      </x:c>
    </x:row>
    <x:row r="22">
      <x:c r="A22" s="1" t="n">
        <x:v>45901</x:v>
      </x:c>
      <x:c r="B22" t="str">
        <x:v>2025-09</x:v>
      </x:c>
      <x:c r="C22" t="n">
        <x:v>1421</x:v>
      </x:c>
      <x:c r="D22" t="n">
        <x:v>1448</x:v>
      </x:c>
      <x:c r="E22" t="n">
        <x:v>766</x:v>
      </x:c>
      <x:c r="F22" t="n">
        <x:v>357</x:v>
      </x:c>
      <x:c r="G22" t="n">
        <x:v>106</x:v>
      </x:c>
      <x:c r="H22" s="2" t="n">
        <x:v>18800</x:v>
      </x:c>
      <x:c r="I22" s="2" t="n">
        <x:v>1992800</x:v>
      </x:c>
      <x:c r="J22" s="2" t="n">
        <x:v>2124000</x:v>
      </x:c>
      <x:c r="K22" s="2" t="n">
        <x:v>17786000</x:v>
      </x:c>
      <x:c r="L22" t="n">
        <x:v>51</x:v>
      </x:c>
      <x:c r="M22" t="n">
        <x:v>106</x:v>
      </x:c>
      <x:c r="N22" s="3" t="n">
        <x:v>0.029997797672897994</x:v>
      </x:c>
      <x:c r="O22" s="3" t="n">
        <x:v>0.5390570021111893</x:v>
      </x:c>
      <x:c r="P22" s="3" t="n">
        <x:v>0.4660574412532637</x:v>
      </x:c>
      <x:c r="Q22" s="3" t="n">
        <x:v>0.2969187675070028</x:v>
      </x:c>
      <x:c r="R22" s="3" t="n">
        <x:v>0.9382297551789077</x:v>
      </x:c>
    </x:row>
    <x:row r="23">
      <x:c r="A23" s="1" t="n">
        <x:v>45931</x:v>
      </x:c>
      <x:c r="B23" t="str">
        <x:v>2025-10</x:v>
      </x:c>
      <x:c r="C23" t="n">
        <x:v>1432</x:v>
      </x:c>
      <x:c r="D23" t="n">
        <x:v>1517</x:v>
      </x:c>
      <x:c r="E23" t="n">
        <x:v>782</x:v>
      </x:c>
      <x:c r="F23" t="n">
        <x:v>368</x:v>
      </x:c>
      <x:c r="G23" t="n">
        <x:v>108</x:v>
      </x:c>
      <x:c r="H23" s="2" t="n">
        <x:v>18900</x:v>
      </x:c>
      <x:c r="I23" s="2" t="n">
        <x:v>2041200</x:v>
      </x:c>
      <x:c r="J23" s="2" t="n">
        <x:v>2237000</x:v>
      </x:c>
      <x:c r="K23" s="2" t="n">
        <x:v>18431000</x:v>
      </x:c>
      <x:c r="L23" t="n">
        <x:v>50</x:v>
      </x:c>
      <x:c r="M23" t="n">
        <x:v>108</x:v>
      </x:c>
      <x:c r="N23" s="3" t="n">
        <x:v>0.02984497840451259</x:v>
      </x:c>
      <x:c r="O23" s="3" t="n">
        <x:v>0.5460893854748603</x:v>
      </x:c>
      <x:c r="P23" s="3" t="n">
        <x:v>0.47058823529411764</x:v>
      </x:c>
      <x:c r="Q23" s="3" t="n">
        <x:v>0.29347826086956524</x:v>
      </x:c>
      <x:c r="R23" s="3" t="n">
        <x:v>0.9124720607957085</x:v>
      </x:c>
    </x:row>
    <x:row r="24">
      <x:c r="A24" s="1" t="n">
        <x:v>45962</x:v>
      </x:c>
      <x:c r="B24" t="str">
        <x:v>2025-11</x:v>
      </x:c>
      <x:c r="C24" t="n">
        <x:v>1509</x:v>
      </x:c>
      <x:c r="D24" t="n">
        <x:v>1571</x:v>
      </x:c>
      <x:c r="E24" t="n">
        <x:v>832</x:v>
      </x:c>
      <x:c r="F24" t="n">
        <x:v>395</x:v>
      </x:c>
      <x:c r="G24" t="n">
        <x:v>116</x:v>
      </x:c>
      <x:c r="H24" s="2" t="n">
        <x:v>19200</x:v>
      </x:c>
      <x:c r="I24" s="2" t="n">
        <x:v>2227200</x:v>
      </x:c>
      <x:c r="J24" s="2" t="n">
        <x:v>2353000</x:v>
      </x:c>
      <x:c r="K24" s="2" t="n">
        <x:v>20098000</x:v>
      </x:c>
      <x:c r="L24" t="n">
        <x:v>49</x:v>
      </x:c>
      <x:c r="M24" t="n">
        <x:v>116</x:v>
      </x:c>
      <x:c r="N24" s="3" t="n">
        <x:v>0.02931971874844517</x:v>
      </x:c>
      <x:c r="O24" s="3" t="n">
        <x:v>0.5513585155732273</x:v>
      </x:c>
      <x:c r="P24" s="3" t="n">
        <x:v>0.47475961538461536</x:v>
      </x:c>
      <x:c r="Q24" s="3" t="n">
        <x:v>0.2936708860759494</x:v>
      </x:c>
      <x:c r="R24" s="3" t="n">
        <x:v>0.9465363365915852</x:v>
      </x:c>
    </x:row>
    <x:row r="25">
      <x:c r="A25" s="1" t="n">
        <x:v>45992</x:v>
      </x:c>
      <x:c r="B25" t="str">
        <x:v>2025-12</x:v>
      </x:c>
      <x:c r="C25" t="n">
        <x:v>1623</x:v>
      </x:c>
      <x:c r="D25" t="n">
        <x:v>1640</x:v>
      </x:c>
      <x:c r="E25" t="n">
        <x:v>900</x:v>
      </x:c>
      <x:c r="F25" t="n">
        <x:v>430</x:v>
      </x:c>
      <x:c r="G25" t="n">
        <x:v>126</x:v>
      </x:c>
      <x:c r="H25" s="2" t="n">
        <x:v>19400</x:v>
      </x:c>
      <x:c r="I25" s="2" t="n">
        <x:v>2444400</x:v>
      </x:c>
      <x:c r="J25" s="2" t="n">
        <x:v>2482000</x:v>
      </x:c>
      <x:c r="K25" s="2" t="n">
        <x:v>22106000</x:v>
      </x:c>
      <x:c r="L25" t="n">
        <x:v>47</x:v>
      </x:c>
      <x:c r="M25" t="n">
        <x:v>126</x:v>
      </x:c>
      <x:c r="N25" s="3" t="n">
        <x:v>0.028472897510597436</x:v>
      </x:c>
      <x:c r="O25" s="3" t="n">
        <x:v>0.5545286506469501</x:v>
      </x:c>
      <x:c r="P25" s="3" t="n">
        <x:v>0.4777777777777778</x:v>
      </x:c>
      <x:c r="Q25" s="3" t="n">
        <x:v>0.2930232558139535</x:v>
      </x:c>
      <x:c r="R25" s="3" t="n">
        <x:v>0.9848509266720387</x:v>
      </x:c>
    </x:row>
    <x:row r="26">
      <x:c r="A26" s="1" t="n">
        <x:v>46023</x:v>
      </x:c>
      <x:c r="B26" t="str">
        <x:v>2026-01</x:v>
      </x:c>
      <x:c r="C26" t="n">
        <x:v>1333</x:v>
      </x:c>
      <x:c r="D26" t="n">
        <x:v>1377</x:v>
      </x:c>
      <x:c r="E26" t="n">
        <x:v>739</x:v>
      </x:c>
      <x:c r="F26" t="n">
        <x:v>354</x:v>
      </x:c>
      <x:c r="G26" t="n">
        <x:v>103</x:v>
      </x:c>
      <x:c r="H26" s="2" t="n">
        <x:v>20900</x:v>
      </x:c>
      <x:c r="I26" s="2" t="n">
        <x:v>2152700</x:v>
      </x:c>
      <x:c r="J26" s="2" t="n">
        <x:v>2245000</x:v>
      </x:c>
      <x:c r="K26" s="2" t="n">
        <x:v>19606000</x:v>
      </x:c>
      <x:c r="L26" t="n">
        <x:v>43</x:v>
      </x:c>
      <x:c r="M26" t="n">
        <x:v>103</x:v>
      </x:c>
      <x:c r="N26" s="3" t="n">
        <x:v>0.025386541271340105</x:v>
      </x:c>
      <x:c r="O26" s="3" t="n">
        <x:v>0.5543885971492873</x:v>
      </x:c>
      <x:c r="P26" s="3" t="n">
        <x:v>0.4790257104194858</x:v>
      </x:c>
      <x:c r="Q26" s="3" t="n">
        <x:v>0.2909604519774011</x:v>
      </x:c>
      <x:c r="R26" s="3" t="n">
        <x:v>0.9588864142538975</x:v>
      </x:c>
    </x:row>
    <x:row r="27">
      <x:c r="A27" s="1" t="n">
        <x:v>46054</x:v>
      </x:c>
      <x:c r="B27" t="str">
        <x:v>2026-02</x:v>
      </x:c>
      <x:c r="C27" t="n">
        <x:v>1338</x:v>
      </x:c>
      <x:c r="D27" t="n">
        <x:v>1422</x:v>
      </x:c>
      <x:c r="E27" t="n">
        <x:v>739</x:v>
      </x:c>
      <x:c r="F27" t="n">
        <x:v>355</x:v>
      </x:c>
      <x:c r="G27" t="n">
        <x:v>104</x:v>
      </x:c>
      <x:c r="H27" s="2" t="n">
        <x:v>20900</x:v>
      </x:c>
      <x:c r="I27" s="2" t="n">
        <x:v>2173600</x:v>
      </x:c>
      <x:c r="J27" s="2" t="n">
        <x:v>2319000</x:v>
      </x:c>
      <x:c r="K27" s="2" t="n">
        <x:v>19662000</x:v>
      </x:c>
      <x:c r="L27" t="n">
        <x:v>43</x:v>
      </x:c>
      <x:c r="M27" t="n">
        <x:v>104</x:v>
      </x:c>
      <x:c r="N27" s="3" t="n">
        <x:v>0.024165878954308977</x:v>
      </x:c>
      <x:c r="O27" s="3" t="n">
        <x:v>0.5523168908819133</x:v>
      </x:c>
      <x:c r="P27" s="3" t="n">
        <x:v>0.4803788903924222</x:v>
      </x:c>
      <x:c r="Q27" s="3" t="n">
        <x:v>0.29295774647887324</x:v>
      </x:c>
      <x:c r="R27" s="3" t="n">
        <x:v>0.9373005605864597</x:v>
      </x:c>
    </x:row>
    <x:row r="28">
      <x:c r="A28" s="1" t="n">
        <x:v>46082</x:v>
      </x:c>
      <x:c r="B28" t="str">
        <x:v>2026-03</x:v>
      </x:c>
      <x:c r="C28" t="n">
        <x:v>1471</x:v>
      </x:c>
      <x:c r="D28" t="n">
        <x:v>1513</x:v>
      </x:c>
      <x:c r="E28" t="n">
        <x:v>805</x:v>
      </x:c>
      <x:c r="F28" t="n">
        <x:v>386</x:v>
      </x:c>
      <x:c r="G28" t="n">
        <x:v>114</x:v>
      </x:c>
      <x:c r="H28" s="2" t="n">
        <x:v>20900</x:v>
      </x:c>
      <x:c r="I28" s="2" t="n">
        <x:v>2382600</x:v>
      </x:c>
      <x:c r="J28" s="2" t="n">
        <x:v>2467000</x:v>
      </x:c>
      <x:c r="K28" s="2" t="n">
        <x:v>21379000</x:v>
      </x:c>
      <x:c r="L28" t="n">
        <x:v>43</x:v>
      </x:c>
      <x:c r="M28" t="n">
        <x:v>114</x:v>
      </x:c>
      <x:c r="N28" s="3" t="n">
        <x:v>0.022929148921012235</x:v>
      </x:c>
      <x:c r="O28" s="3" t="n">
        <x:v>0.5472467709041469</x:v>
      </x:c>
      <x:c r="P28" s="3" t="n">
        <x:v>0.4795031055900621</x:v>
      </x:c>
      <x:c r="Q28" s="3" t="n">
        <x:v>0.29533678756476683</x:v>
      </x:c>
      <x:c r="R28" s="3" t="n">
        <x:v>0.9657884069720308</x:v>
      </x:c>
    </x:row>
    <x:row r="29">
      <x:c r="A29" s="1" t="n">
        <x:v>46113</x:v>
      </x:c>
      <x:c r="B29" t="str">
        <x:v>2026-04</x:v>
      </x:c>
      <x:c r="C29" t="n">
        <x:v>1557</x:v>
      </x:c>
      <x:c r="D29" t="n">
        <x:v>1573</x:v>
      </x:c>
      <x:c r="E29" t="n">
        <x:v>841</x:v>
      </x:c>
      <x:c r="F29" t="n">
        <x:v>402</x:v>
      </x:c>
      <x:c r="G29" t="n">
        <x:v>119</x:v>
      </x:c>
      <x:c r="H29" s="2" t="n">
        <x:v>20800</x:v>
      </x:c>
      <x:c r="I29" s="2" t="n">
        <x:v>2475200</x:v>
      </x:c>
      <x:c r="J29" s="2" t="n">
        <x:v>2553000</x:v>
      </x:c>
      <x:c r="K29" s="2" t="n">
        <x:v>22158000</x:v>
      </x:c>
      <x:c r="L29" t="n">
        <x:v>44</x:v>
      </x:c>
      <x:c r="M29" t="n">
        <x:v>119</x:v>
      </x:c>
      <x:c r="N29" s="3" t="n">
        <x:v>0.021796145917895908</x:v>
      </x:c>
      <x:c r="O29" s="3" t="n">
        <x:v>0.5401412973667309</x:v>
      </x:c>
      <x:c r="P29" s="3" t="n">
        <x:v>0.4780023781212842</x:v>
      </x:c>
      <x:c r="Q29" s="3" t="n">
        <x:v>0.2960199004975124</x:v>
      </x:c>
      <x:c r="R29" s="3" t="n">
        <x:v>0.9695260477869173</x:v>
      </x:c>
    </x:row>
    <x:row r="30">
      <x:c r="A30" s="1" t="n">
        <x:v>46143</x:v>
      </x:c>
      <x:c r="B30" t="str">
        <x:v>2026-05</x:v>
      </x:c>
      <x:c r="C30" t="n">
        <x:v>1548</x:v>
      </x:c>
      <x:c r="D30" t="n">
        <x:v>1619</x:v>
      </x:c>
      <x:c r="E30" t="n">
        <x:v>824</x:v>
      </x:c>
      <x:c r="F30" t="n">
        <x:v>391</x:v>
      </x:c>
      <x:c r="G30" t="n">
        <x:v>117</x:v>
      </x:c>
      <x:c r="H30" s="2" t="n">
        <x:v>20600</x:v>
      </x:c>
      <x:c r="I30" s="2" t="n">
        <x:v>2410200</x:v>
      </x:c>
      <x:c r="J30" s="2" t="n">
        <x:v>2602000</x:v>
      </x:c>
      <x:c r="K30" s="2" t="n">
        <x:v>21345000</x:v>
      </x:c>
      <x:c r="L30" t="n">
        <x:v>45</x:v>
      </x:c>
      <x:c r="M30" t="n">
        <x:v>117</x:v>
      </x:c>
      <x:c r="N30" s="3" t="n">
        <x:v>0.020876617265577005</x:v>
      </x:c>
      <x:c r="O30" s="3" t="n">
        <x:v>0.5322997416020672</x:v>
      </x:c>
      <x:c r="P30" s="3" t="n">
        <x:v>0.47451456310679613</x:v>
      </x:c>
      <x:c r="Q30" s="3" t="n">
        <x:v>0.29923273657289</x:v>
      </x:c>
      <x:c r="R30" s="3" t="n">
        <x:v>0.9262874711760184</x:v>
      </x:c>
    </x:row>
    <x:row r="31">
      <x:c r="A31" s="1" t="n">
        <x:v>46174</x:v>
      </x:c>
      <x:c r="B31" t="str">
        <x:v>2026-06</x:v>
      </x:c>
      <x:c r="C31" t="n">
        <x:v>1461</x:v>
      </x:c>
      <x:c r="D31" t="n">
        <x:v>1543</x:v>
      </x:c>
      <x:c r="E31" t="n">
        <x:v>766</x:v>
      </x:c>
      <x:c r="F31" t="n">
        <x:v>361</x:v>
      </x:c>
      <x:c r="G31" t="n">
        <x:v>109</x:v>
      </x:c>
      <x:c r="H31" s="2" t="n">
        <x:v>20300</x:v>
      </x:c>
      <x:c r="I31" s="2" t="n">
        <x:v>2212700</x:v>
      </x:c>
      <x:c r="J31" s="2" t="n">
        <x:v>2444000</x:v>
      </x:c>
      <x:c r="K31" s="2" t="n">
        <x:v>19420000</x:v>
      </x:c>
      <x:c r="L31" t="n">
        <x:v>46</x:v>
      </x:c>
      <x:c r="M31" t="n">
        <x:v>109</x:v>
      </x:c>
      <x:c r="N31" s="3" t="n">
        <x:v>0.020259632282976135</x:v>
      </x:c>
      <x:c r="O31" s="3" t="n">
        <x:v>0.5242984257357974</x:v>
      </x:c>
      <x:c r="P31" s="3" t="n">
        <x:v>0.47127937336814624</x:v>
      </x:c>
      <x:c r="Q31" s="3" t="n">
        <x:v>0.30193905817174516</x:v>
      </x:c>
      <x:c r="R31" s="3" t="n">
        <x:v>0.9053600654664484</x:v>
      </x:c>
    </x:row>
    <x:row r="32">
      <x:c r="A32" s="1" t="n">
        <x:v>46204</x:v>
      </x:c>
      <x:c r="B32" t="str">
        <x:v>2026-07</x:v>
      </x:c>
      <x:c r="C32" t="n">
        <x:v>1430</x:v>
      </x:c>
      <x:c r="D32" t="n">
        <x:v>1452</x:v>
      </x:c>
      <x:c r="E32" t="n">
        <x:v>738</x:v>
      </x:c>
      <x:c r="F32" t="n">
        <x:v>345</x:v>
      </x:c>
      <x:c r="G32" t="n">
        <x:v>105</x:v>
      </x:c>
      <x:c r="H32" s="2" t="n">
        <x:v>20200</x:v>
      </x:c>
      <x:c r="I32" s="2" t="n">
        <x:v>2121000</x:v>
      </x:c>
      <x:c r="J32" s="2" t="n">
        <x:v>2288000</x:v>
      </x:c>
      <x:c r="K32" s="2" t="n">
        <x:v>18468000</x:v>
      </x:c>
      <x:c r="L32" t="n">
        <x:v>47</x:v>
      </x:c>
      <x:c r="M32" t="n">
        <x:v>105</x:v>
      </x:c>
      <x:c r="N32" s="3" t="n">
        <x:v>0.020004954667554944</x:v>
      </x:c>
      <x:c r="O32" s="3" t="n">
        <x:v>0.5160839160839161</x:v>
      </x:c>
      <x:c r="P32" s="3" t="n">
        <x:v>0.46747967479674796</x:v>
      </x:c>
      <x:c r="Q32" s="3" t="n">
        <x:v>0.30434782608695654</x:v>
      </x:c>
      <x:c r="R32" s="3" t="n">
        <x:v>0.9270104895104895</x:v>
      </x:c>
    </x:row>
    <x:row r="33">
      <x:c r="A33" s="1" t="n">
        <x:v>46235</x:v>
      </x:c>
      <x:c r="B33" t="str">
        <x:v>2026-08</x:v>
      </x:c>
      <x:c r="C33" t="n">
        <x:v>1459</x:v>
      </x:c>
      <x:c r="D33" t="n">
        <x:v>1483</x:v>
      </x:c>
      <x:c r="E33" t="n">
        <x:v>745</x:v>
      </x:c>
      <x:c r="F33" t="n">
        <x:v>344</x:v>
      </x:c>
      <x:c r="G33" t="n">
        <x:v>106</x:v>
      </x:c>
      <x:c r="H33" s="2" t="n">
        <x:v>20100</x:v>
      </x:c>
      <x:c r="I33" s="2" t="n">
        <x:v>2130600</x:v>
      </x:c>
      <x:c r="J33" s="2" t="n">
        <x:v>2326000</x:v>
      </x:c>
      <x:c r="K33" s="2" t="n">
        <x:v>18323000</x:v>
      </x:c>
      <x:c r="L33" t="n">
        <x:v>48</x:v>
      </x:c>
      <x:c r="M33" t="n">
        <x:v>106</x:v>
      </x:c>
      <x:c r="N33" s="3" t="n">
        <x:v>0.020137253538315525</x:v>
      </x:c>
      <x:c r="O33" s="3" t="n">
        <x:v>0.5106237148732008</x:v>
      </x:c>
      <x:c r="P33" s="3" t="n">
        <x:v>0.46174496644295304</x:v>
      </x:c>
      <x:c r="Q33" s="3" t="n">
        <x:v>0.3081395348837209</x:v>
      </x:c>
      <x:c r="R33" s="3" t="n">
        <x:v>0.9159931212381771</x:v>
      </x:c>
    </x:row>
    <x:row r="34">
      <x:c r="A34" s="1" t="n">
        <x:v>46266</x:v>
      </x:c>
      <x:c r="B34" t="str">
        <x:v>2026-09</x:v>
      </x:c>
      <x:c r="C34" t="n">
        <x:v>1519</x:v>
      </x:c>
      <x:c r="D34" t="n">
        <x:v>1604</x:v>
      </x:c>
      <x:c r="E34" t="n">
        <x:v>769</x:v>
      </x:c>
      <x:c r="F34" t="n">
        <x:v>352</x:v>
      </x:c>
      <x:c r="G34" t="n">
        <x:v>110</x:v>
      </x:c>
      <x:c r="H34" s="2" t="n">
        <x:v>20100</x:v>
      </x:c>
      <x:c r="I34" s="2" t="n">
        <x:v>2211000</x:v>
      </x:c>
      <x:c r="J34" s="2" t="n">
        <x:v>2515000</x:v>
      </x:c>
      <x:c r="K34" s="2" t="n">
        <x:v>18749000</x:v>
      </x:c>
      <x:c r="L34" t="n">
        <x:v>49</x:v>
      </x:c>
      <x:c r="M34" t="n">
        <x:v>110</x:v>
      </x:c>
      <x:c r="N34" s="3" t="n">
        <x:v>0.020643713883694192</x:v>
      </x:c>
      <x:c r="O34" s="3" t="n">
        <x:v>0.5062541145490455</x:v>
      </x:c>
      <x:c r="P34" s="3" t="n">
        <x:v>0.4577373211963589</x:v>
      </x:c>
      <x:c r="Q34" s="3" t="n">
        <x:v>0.3125</x:v>
      </x:c>
      <x:c r="R34" s="3" t="n">
        <x:v>0.8791252485089464</x:v>
      </x:c>
    </x:row>
    <x:row r="35">
      <x:c r="A35" s="1" t="n">
        <x:v>46296</x:v>
      </x:c>
      <x:c r="B35" t="str">
        <x:v>2026-10</x:v>
      </x:c>
      <x:c r="C35" t="n">
        <x:v>1608</x:v>
      </x:c>
      <x:c r="D35" t="n">
        <x:v>1679</x:v>
      </x:c>
      <x:c r="E35" t="n">
        <x:v>812</x:v>
      </x:c>
      <x:c r="F35" t="n">
        <x:v>367</x:v>
      </x:c>
      <x:c r="G35" t="n">
        <x:v>116</x:v>
      </x:c>
      <x:c r="H35" s="2" t="n">
        <x:v>20200</x:v>
      </x:c>
      <x:c r="I35" s="2" t="n">
        <x:v>2343200</x:v>
      </x:c>
      <x:c r="J35" s="2" t="n">
        <x:v>2646000</x:v>
      </x:c>
      <x:c r="K35" s="2" t="n">
        <x:v>19646000</x:v>
      </x:c>
      <x:c r="L35" t="n">
        <x:v>49</x:v>
      </x:c>
      <x:c r="M35" t="n">
        <x:v>116</x:v>
      </x:c>
      <x:c r="N35" s="3" t="n">
        <x:v>0.021475277876173097</x:v>
      </x:c>
      <x:c r="O35" s="3" t="n">
        <x:v>0.5049751243781094</x:v>
      </x:c>
      <x:c r="P35" s="3" t="n">
        <x:v>0.45197044334975367</x:v>
      </x:c>
      <x:c r="Q35" s="3" t="n">
        <x:v>0.31607629427792916</x:v>
      </x:c>
      <x:c r="R35" s="3" t="n">
        <x:v>0.8855631141345427</x:v>
      </x:c>
    </x:row>
    <x:row r="36">
      <x:c r="A36" s="1" t="n">
        <x:v>46327</x:v>
      </x:c>
      <x:c r="B36" t="str">
        <x:v>2026-11</x:v>
      </x:c>
      <x:c r="C36" t="n">
        <x:v>1719</x:v>
      </x:c>
      <x:c r="D36" t="n">
        <x:v>1740</x:v>
      </x:c>
      <x:c r="E36" t="n">
        <x:v>871</x:v>
      </x:c>
      <x:c r="F36" t="n">
        <x:v>390</x:v>
      </x:c>
      <x:c r="G36" t="n">
        <x:v>124</x:v>
      </x:c>
      <x:c r="H36" s="2" t="n">
        <x:v>20400</x:v>
      </x:c>
      <x:c r="I36" s="2" t="n">
        <x:v>2529600</x:v>
      </x:c>
      <x:c r="J36" s="2" t="n">
        <x:v>2769000</x:v>
      </x:c>
      <x:c r="K36" s="2" t="n">
        <x:v>21083000</x:v>
      </x:c>
      <x:c r="L36" t="n">
        <x:v>48</x:v>
      </x:c>
      <x:c r="M36" t="n">
        <x:v>124</x:v>
      </x:c>
      <x:c r="N36" s="3" t="n">
        <x:v>0.022551396814782233</x:v>
      </x:c>
      <x:c r="O36" s="3" t="n">
        <x:v>0.5066899360093078</x:v>
      </x:c>
      <x:c r="P36" s="3" t="n">
        <x:v>0.44776119402985076</x:v>
      </x:c>
      <x:c r="Q36" s="3" t="n">
        <x:v>0.31794871794871793</x:v>
      </x:c>
      <x:c r="R36" s="3" t="n">
        <x:v>0.9135427952329361</x:v>
      </x:c>
    </x:row>
    <x:row r="37">
      <x:c r="A37" s="1" t="n">
        <x:v>46357</x:v>
      </x:c>
      <x:c r="B37" t="str">
        <x:v>2026-12</x:v>
      </x:c>
      <x:c r="C37" t="n">
        <x:v>1763</x:v>
      </x:c>
      <x:c r="D37" t="n">
        <x:v>1815</x:v>
      </x:c>
      <x:c r="E37" t="n">
        <x:v>900</x:v>
      </x:c>
      <x:c r="F37" t="n">
        <x:v>400</x:v>
      </x:c>
      <x:c r="G37" t="n">
        <x:v>129</x:v>
      </x:c>
      <x:c r="H37" s="2" t="n">
        <x:v>20600</x:v>
      </x:c>
      <x:c r="I37" s="2" t="n">
        <x:v>2657400</x:v>
      </x:c>
      <x:c r="J37" s="2" t="n">
        <x:v>2917000</x:v>
      </x:c>
      <x:c r="K37" s="2" t="n">
        <x:v>21836000</x:v>
      </x:c>
      <x:c r="L37" t="n">
        <x:v>47</x:v>
      </x:c>
      <x:c r="M37" t="n">
        <x:v>129</x:v>
      </x:c>
      <x:c r="N37" s="3" t="n">
        <x:v>0.02376783340283947</x:v>
      </x:c>
      <x:c r="O37" s="3" t="n">
        <x:v>0.5104934770277936</x:v>
      </x:c>
      <x:c r="P37" s="3" t="n">
        <x:v>0.4444444444444444</x:v>
      </x:c>
      <x:c r="Q37" s="3" t="n">
        <x:v>0.3225</x:v>
      </x:c>
      <x:c r="R37" s="3" t="n">
        <x:v>0.9110044566335276</x:v>
      </x:c>
    </x:row>
  </x:sheetData>
  <x:pageMargins left="0.7" right="0.7" top="0.75" bottom="0.75" header="0.3" footer="0.3"/>
  <x:tableParts count="1">
    <x:tablePart xmlns:r="http://schemas.openxmlformats.org/officeDocument/2006/relationships" r:id="R88555816cf5040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t="str">
        <x:v>Month</x:v>
      </x:c>
      <x:c r="B1" t="str">
        <x:v>Month Key</x:v>
      </x:c>
      <x:c r="C1" t="str">
        <x:v>Sales Rep</x:v>
      </x:c>
      <x:c r="D1" t="str">
        <x:v>New Leads</x:v>
      </x:c>
      <x:c r="E1" t="str">
        <x:v>Opportunities</x:v>
      </x:c>
      <x:c r="F1" t="str">
        <x:v>Won Deals</x:v>
      </x:c>
      <x:c r="G1" t="str">
        <x:v>Won Revenue</x:v>
      </x:c>
      <x:c r="H1" t="str">
        <x:v>Revenue Target</x:v>
      </x:c>
      <x:c r="I1" t="str">
        <x:v>Win Rate</x:v>
      </x:c>
      <x:c r="J1" t="str">
        <x:v>Sales Cycle Days</x:v>
      </x:c>
    </x:row>
    <x:row r="2">
      <x:c r="A2" s="1" t="n">
        <x:v>45292</x:v>
      </x:c>
      <x:c r="B2" t="str">
        <x:v>2024-01</x:v>
      </x:c>
      <x:c r="C2" t="str">
        <x:v>Ayşe Demir</x:v>
      </x:c>
      <x:c r="D2" t="n">
        <x:v>247</x:v>
      </x:c>
      <x:c r="E2" t="n">
        <x:v>58</x:v>
      </x:c>
      <x:c r="F2" t="n">
        <x:v>16</x:v>
      </x:c>
      <x:c r="G2" s="2" t="n">
        <x:v>269000</x:v>
      </x:c>
      <x:c r="H2" s="2" t="n">
        <x:v>365000</x:v>
      </x:c>
      <x:c r="I2" s="3" t="n">
        <x:v>0.27586206896551724</x:v>
      </x:c>
      <x:c r="J2" t="n">
        <x:v>56</x:v>
      </x:c>
    </x:row>
    <x:row r="3">
      <x:c r="A3" s="1" t="n">
        <x:v>45292</x:v>
      </x:c>
      <x:c r="B3" t="str">
        <x:v>2024-01</x:v>
      </x:c>
      <x:c r="C3" t="str">
        <x:v>Emre Kaya</x:v>
      </x:c>
      <x:c r="D3" t="n">
        <x:v>241</x:v>
      </x:c>
      <x:c r="E3" t="n">
        <x:v>59</x:v>
      </x:c>
      <x:c r="F3" t="n">
        <x:v>19</x:v>
      </x:c>
      <x:c r="G3" s="2" t="n">
        <x:v>336000</x:v>
      </x:c>
      <x:c r="H3" s="2" t="n">
        <x:v>333000</x:v>
      </x:c>
      <x:c r="I3" s="3" t="n">
        <x:v>0.3220338983050847</x:v>
      </x:c>
      <x:c r="J3" t="n">
        <x:v>54</x:v>
      </x:c>
    </x:row>
    <x:row r="4">
      <x:c r="A4" s="1" t="n">
        <x:v>45292</x:v>
      </x:c>
      <x:c r="B4" t="str">
        <x:v>2024-01</x:v>
      </x:c>
      <x:c r="C4" t="str">
        <x:v>Selin Yılmaz</x:v>
      </x:c>
      <x:c r="D4" t="n">
        <x:v>220</x:v>
      </x:c>
      <x:c r="E4" t="n">
        <x:v>55</x:v>
      </x:c>
      <x:c r="F4" t="n">
        <x:v>18</x:v>
      </x:c>
      <x:c r="G4" s="2" t="n">
        <x:v>333000</x:v>
      </x:c>
      <x:c r="H4" s="2" t="n">
        <x:v>317000</x:v>
      </x:c>
      <x:c r="I4" s="3" t="n">
        <x:v>0.32727272727272727</x:v>
      </x:c>
      <x:c r="J4" t="n">
        <x:v>53</x:v>
      </x:c>
    </x:row>
    <x:row r="5">
      <x:c r="A5" s="1" t="n">
        <x:v>45292</x:v>
      </x:c>
      <x:c r="B5" t="str">
        <x:v>2024-01</x:v>
      </x:c>
      <x:c r="C5" t="str">
        <x:v>Can Arslan</x:v>
      </x:c>
      <x:c r="D5" t="n">
        <x:v>192</x:v>
      </x:c>
      <x:c r="E5" t="n">
        <x:v>50</x:v>
      </x:c>
      <x:c r="F5" t="n">
        <x:v>17</x:v>
      </x:c>
      <x:c r="G5" s="2" t="n">
        <x:v>328000</x:v>
      </x:c>
      <x:c r="H5" s="2" t="n">
        <x:v>301000</x:v>
      </x:c>
      <x:c r="I5" s="3" t="n">
        <x:v>0.34</x:v>
      </x:c>
      <x:c r="J5" t="n">
        <x:v>51</x:v>
      </x:c>
    </x:row>
    <x:row r="6">
      <x:c r="A6" s="1" t="n">
        <x:v>45292</x:v>
      </x:c>
      <x:c r="B6" t="str">
        <x:v>2024-01</x:v>
      </x:c>
      <x:c r="C6" t="str">
        <x:v>Deniz Koç</x:v>
      </x:c>
      <x:c r="D6" t="n">
        <x:v>175</x:v>
      </x:c>
      <x:c r="E6" t="n">
        <x:v>47</x:v>
      </x:c>
      <x:c r="F6" t="n">
        <x:v>16</x:v>
      </x:c>
      <x:c r="G6" s="2" t="n">
        <x:v>322000</x:v>
      </x:c>
      <x:c r="H6" s="2" t="n">
        <x:v>269000</x:v>
      </x:c>
      <x:c r="I6" s="3" t="n">
        <x:v>0.3404255319148936</x:v>
      </x:c>
      <x:c r="J6" t="n">
        <x:v>49</x:v>
      </x:c>
    </x:row>
    <x:row r="7">
      <x:c r="A7" s="1" t="n">
        <x:v>45323</x:v>
      </x:c>
      <x:c r="B7" t="str">
        <x:v>2024-02</x:v>
      </x:c>
      <x:c r="C7" t="str">
        <x:v>Ayşe Demir</x:v>
      </x:c>
      <x:c r="D7" t="n">
        <x:v>279</x:v>
      </x:c>
      <x:c r="E7" t="n">
        <x:v>66</x:v>
      </x:c>
      <x:c r="F7" t="n">
        <x:v>19</x:v>
      </x:c>
      <x:c r="G7" s="2" t="n">
        <x:v>318000</x:v>
      </x:c>
      <x:c r="H7" s="2" t="n">
        <x:v>375000</x:v>
      </x:c>
      <x:c r="I7" s="3" t="n">
        <x:v>0.2878787878787879</x:v>
      </x:c>
      <x:c r="J7" t="n">
        <x:v>57</x:v>
      </x:c>
    </x:row>
    <x:row r="8">
      <x:c r="A8" s="1" t="n">
        <x:v>45323</x:v>
      </x:c>
      <x:c r="B8" t="str">
        <x:v>2024-02</x:v>
      </x:c>
      <x:c r="C8" t="str">
        <x:v>Emre Kaya</x:v>
      </x:c>
      <x:c r="D8" t="n">
        <x:v>252</x:v>
      </x:c>
      <x:c r="E8" t="n">
        <x:v>61</x:v>
      </x:c>
      <x:c r="F8" t="n">
        <x:v>19</x:v>
      </x:c>
      <x:c r="G8" s="2" t="n">
        <x:v>334000</x:v>
      </x:c>
      <x:c r="H8" s="2" t="n">
        <x:v>342000</x:v>
      </x:c>
      <x:c r="I8" s="3" t="n">
        <x:v>0.3114754098360656</x:v>
      </x:c>
      <x:c r="J8" t="n">
        <x:v>55</x:v>
      </x:c>
    </x:row>
    <x:row r="9">
      <x:c r="A9" s="1" t="n">
        <x:v>45323</x:v>
      </x:c>
      <x:c r="B9" t="str">
        <x:v>2024-02</x:v>
      </x:c>
      <x:c r="C9" t="str">
        <x:v>Selin Yılmaz</x:v>
      </x:c>
      <x:c r="D9" t="n">
        <x:v>220</x:v>
      </x:c>
      <x:c r="E9" t="n">
        <x:v>55</x:v>
      </x:c>
      <x:c r="F9" t="n">
        <x:v>18</x:v>
      </x:c>
      <x:c r="G9" s="2" t="n">
        <x:v>331000</x:v>
      </x:c>
      <x:c r="H9" s="2" t="n">
        <x:v>326000</x:v>
      </x:c>
      <x:c r="I9" s="3" t="n">
        <x:v>0.32727272727272727</x:v>
      </x:c>
      <x:c r="J9" t="n">
        <x:v>54</x:v>
      </x:c>
    </x:row>
    <x:row r="10">
      <x:c r="A10" s="1" t="n">
        <x:v>45323</x:v>
      </x:c>
      <x:c r="B10" t="str">
        <x:v>2024-02</x:v>
      </x:c>
      <x:c r="C10" t="str">
        <x:v>Can Arslan</x:v>
      </x:c>
      <x:c r="D10" t="n">
        <x:v>204</x:v>
      </x:c>
      <x:c r="E10" t="n">
        <x:v>53</x:v>
      </x:c>
      <x:c r="F10" t="n">
        <x:v>17</x:v>
      </x:c>
      <x:c r="G10" s="2" t="n">
        <x:v>326000</x:v>
      </x:c>
      <x:c r="H10" s="2" t="n">
        <x:v>310000</x:v>
      </x:c>
      <x:c r="I10" s="3" t="n">
        <x:v>0.32075471698113206</x:v>
      </x:c>
      <x:c r="J10" t="n">
        <x:v>52</x:v>
      </x:c>
    </x:row>
    <x:row r="11">
      <x:c r="A11" s="1" t="n">
        <x:v>45323</x:v>
      </x:c>
      <x:c r="B11" t="str">
        <x:v>2024-02</x:v>
      </x:c>
      <x:c r="C11" t="str">
        <x:v>Deniz Koç</x:v>
      </x:c>
      <x:c r="D11" t="n">
        <x:v>199</x:v>
      </x:c>
      <x:c r="E11" t="n">
        <x:v>53</x:v>
      </x:c>
      <x:c r="F11" t="n">
        <x:v>17</x:v>
      </x:c>
      <x:c r="G11" s="2" t="n">
        <x:v>340000</x:v>
      </x:c>
      <x:c r="H11" s="2" t="n">
        <x:v>277000</x:v>
      </x:c>
      <x:c r="I11" s="3" t="n">
        <x:v>0.32075471698113206</x:v>
      </x:c>
      <x:c r="J11" t="n">
        <x:v>50</x:v>
      </x:c>
    </x:row>
    <x:row r="12">
      <x:c r="A12" s="1" t="n">
        <x:v>45352</x:v>
      </x:c>
      <x:c r="B12" t="str">
        <x:v>2024-03</x:v>
      </x:c>
      <x:c r="C12" t="str">
        <x:v>Ayşe Demir</x:v>
      </x:c>
      <x:c r="D12" t="n">
        <x:v>286</x:v>
      </x:c>
      <x:c r="E12" t="n">
        <x:v>67</x:v>
      </x:c>
      <x:c r="F12" t="n">
        <x:v>20</x:v>
      </x:c>
      <x:c r="G12" s="2" t="n">
        <x:v>331000</x:v>
      </x:c>
      <x:c r="H12" s="2" t="n">
        <x:v>394000</x:v>
      </x:c>
      <x:c r="I12" s="3" t="n">
        <x:v>0.29850746268656714</x:v>
      </x:c>
      <x:c r="J12" t="n">
        <x:v>58</x:v>
      </x:c>
    </x:row>
    <x:row r="13">
      <x:c r="A13" s="1" t="n">
        <x:v>45352</x:v>
      </x:c>
      <x:c r="B13" t="str">
        <x:v>2024-03</x:v>
      </x:c>
      <x:c r="C13" t="str">
        <x:v>Emre Kaya</x:v>
      </x:c>
      <x:c r="D13" t="n">
        <x:v>241</x:v>
      </x:c>
      <x:c r="E13" t="n">
        <x:v>59</x:v>
      </x:c>
      <x:c r="F13" t="n">
        <x:v>19</x:v>
      </x:c>
      <x:c r="G13" s="2" t="n">
        <x:v>330000</x:v>
      </x:c>
      <x:c r="H13" s="2" t="n">
        <x:v>360000</x:v>
      </x:c>
      <x:c r="I13" s="3" t="n">
        <x:v>0.3220338983050847</x:v>
      </x:c>
      <x:c r="J13" t="n">
        <x:v>56</x:v>
      </x:c>
    </x:row>
    <x:row r="14">
      <x:c r="A14" s="1" t="n">
        <x:v>45352</x:v>
      </x:c>
      <x:c r="B14" t="str">
        <x:v>2024-03</x:v>
      </x:c>
      <x:c r="C14" t="str">
        <x:v>Selin Yılmaz</x:v>
      </x:c>
      <x:c r="D14" t="n">
        <x:v>218</x:v>
      </x:c>
      <x:c r="E14" t="n">
        <x:v>55</x:v>
      </x:c>
      <x:c r="F14" t="n">
        <x:v>18</x:v>
      </x:c>
      <x:c r="G14" s="2" t="n">
        <x:v>327000</x:v>
      </x:c>
      <x:c r="H14" s="2" t="n">
        <x:v>343000</x:v>
      </x:c>
      <x:c r="I14" s="3" t="n">
        <x:v>0.32727272727272727</x:v>
      </x:c>
      <x:c r="J14" t="n">
        <x:v>55</x:v>
      </x:c>
    </x:row>
    <x:row r="15">
      <x:c r="A15" s="1" t="n">
        <x:v>45352</x:v>
      </x:c>
      <x:c r="B15" t="str">
        <x:v>2024-03</x:v>
      </x:c>
      <x:c r="C15" t="str">
        <x:v>Can Arslan</x:v>
      </x:c>
      <x:c r="D15" t="n">
        <x:v>221</x:v>
      </x:c>
      <x:c r="E15" t="n">
        <x:v>57</x:v>
      </x:c>
      <x:c r="F15" t="n">
        <x:v>18</x:v>
      </x:c>
      <x:c r="G15" s="2" t="n">
        <x:v>342000</x:v>
      </x:c>
      <x:c r="H15" s="2" t="n">
        <x:v>325000</x:v>
      </x:c>
      <x:c r="I15" s="3" t="n">
        <x:v>0.3157894736842105</x:v>
      </x:c>
      <x:c r="J15" t="n">
        <x:v>53</x:v>
      </x:c>
    </x:row>
    <x:row r="16">
      <x:c r="A16" s="1" t="n">
        <x:v>45352</x:v>
      </x:c>
      <x:c r="B16" t="str">
        <x:v>2024-03</x:v>
      </x:c>
      <x:c r="C16" t="str">
        <x:v>Deniz Koç</x:v>
      </x:c>
      <x:c r="D16" t="n">
        <x:v>212</x:v>
      </x:c>
      <x:c r="E16" t="n">
        <x:v>57</x:v>
      </x:c>
      <x:c r="F16" t="n">
        <x:v>19</x:v>
      </x:c>
      <x:c r="G16" s="2" t="n">
        <x:v>376000</x:v>
      </x:c>
      <x:c r="H16" s="2" t="n">
        <x:v>291000</x:v>
      </x:c>
      <x:c r="I16" s="3" t="n">
        <x:v>0.3333333333333333</x:v>
      </x:c>
      <x:c r="J16" t="n">
        <x:v>51</x:v>
      </x:c>
    </x:row>
    <x:row r="17">
      <x:c r="A17" s="1" t="n">
        <x:v>45383</x:v>
      </x:c>
      <x:c r="B17" t="str">
        <x:v>2024-04</x:v>
      </x:c>
      <x:c r="C17" t="str">
        <x:v>Ayşe Demir</x:v>
      </x:c>
      <x:c r="D17" t="n">
        <x:v>277</x:v>
      </x:c>
      <x:c r="E17" t="n">
        <x:v>65</x:v>
      </x:c>
      <x:c r="F17" t="n">
        <x:v>19</x:v>
      </x:c>
      <x:c r="G17" s="2" t="n">
        <x:v>311000</x:v>
      </x:c>
      <x:c r="H17" s="2" t="n">
        <x:v>405000</x:v>
      </x:c>
      <x:c r="I17" s="3" t="n">
        <x:v>0.2923076923076923</x:v>
      </x:c>
      <x:c r="J17" t="n">
        <x:v>59</x:v>
      </x:c>
    </x:row>
    <x:row r="18">
      <x:c r="A18" s="1" t="n">
        <x:v>45383</x:v>
      </x:c>
      <x:c r="B18" t="str">
        <x:v>2024-04</x:v>
      </x:c>
      <x:c r="C18" t="str">
        <x:v>Emre Kaya</x:v>
      </x:c>
      <x:c r="D18" t="n">
        <x:v>234</x:v>
      </x:c>
      <x:c r="E18" t="n">
        <x:v>57</x:v>
      </x:c>
      <x:c r="F18" t="n">
        <x:v>18</x:v>
      </x:c>
      <x:c r="G18" s="2" t="n">
        <x:v>309000</x:v>
      </x:c>
      <x:c r="H18" s="2" t="n">
        <x:v>370000</x:v>
      </x:c>
      <x:c r="I18" s="3" t="n">
        <x:v>0.3157894736842105</x:v>
      </x:c>
      <x:c r="J18" t="n">
        <x:v>57</x:v>
      </x:c>
    </x:row>
    <x:row r="19">
      <x:c r="A19" s="1" t="n">
        <x:v>45383</x:v>
      </x:c>
      <x:c r="B19" t="str">
        <x:v>2024-04</x:v>
      </x:c>
      <x:c r="C19" t="str">
        <x:v>Selin Yılmaz</x:v>
      </x:c>
      <x:c r="D19" t="n">
        <x:v>231</x:v>
      </x:c>
      <x:c r="E19" t="n">
        <x:v>58</x:v>
      </x:c>
      <x:c r="F19" t="n">
        <x:v>18</x:v>
      </x:c>
      <x:c r="G19" s="2" t="n">
        <x:v>324000</x:v>
      </x:c>
      <x:c r="H19" s="2" t="n">
        <x:v>352000</x:v>
      </x:c>
      <x:c r="I19" s="3" t="n">
        <x:v>0.3103448275862069</x:v>
      </x:c>
      <x:c r="J19" t="n">
        <x:v>56</x:v>
      </x:c>
    </x:row>
    <x:row r="20">
      <x:c r="A20" s="1" t="n">
        <x:v>45383</x:v>
      </x:c>
      <x:c r="B20" t="str">
        <x:v>2024-04</x:v>
      </x:c>
      <x:c r="C20" t="str">
        <x:v>Can Arslan</x:v>
      </x:c>
      <x:c r="D20" t="n">
        <x:v>239</x:v>
      </x:c>
      <x:c r="E20" t="n">
        <x:v>62</x:v>
      </x:c>
      <x:c r="F20" t="n">
        <x:v>20</x:v>
      </x:c>
      <x:c r="G20" s="2" t="n">
        <x:v>376000</x:v>
      </x:c>
      <x:c r="H20" s="2" t="n">
        <x:v>335000</x:v>
      </x:c>
      <x:c r="I20" s="3" t="n">
        <x:v>0.3225806451612903</x:v>
      </x:c>
      <x:c r="J20" t="n">
        <x:v>54</x:v>
      </x:c>
    </x:row>
    <x:row r="21">
      <x:c r="A21" s="1" t="n">
        <x:v>45383</x:v>
      </x:c>
      <x:c r="B21" t="str">
        <x:v>2024-04</x:v>
      </x:c>
      <x:c r="C21" t="str">
        <x:v>Deniz Koç</x:v>
      </x:c>
      <x:c r="D21" t="n">
        <x:v>213</x:v>
      </x:c>
      <x:c r="E21" t="n">
        <x:v>57</x:v>
      </x:c>
      <x:c r="F21" t="n">
        <x:v>19</x:v>
      </x:c>
      <x:c r="G21" s="2" t="n">
        <x:v>372000</x:v>
      </x:c>
      <x:c r="H21" s="2" t="n">
        <x:v>300000</x:v>
      </x:c>
      <x:c r="I21" s="3" t="n">
        <x:v>0.3333333333333333</x:v>
      </x:c>
      <x:c r="J21" t="n">
        <x:v>52</x:v>
      </x:c>
    </x:row>
    <x:row r="22">
      <x:c r="A22" s="1" t="n">
        <x:v>45413</x:v>
      </x:c>
      <x:c r="B22" t="str">
        <x:v>2024-05</x:v>
      </x:c>
      <x:c r="C22" t="str">
        <x:v>Ayşe Demir</x:v>
      </x:c>
      <x:c r="D22" t="n">
        <x:v>279</x:v>
      </x:c>
      <x:c r="E22" t="n">
        <x:v>66</x:v>
      </x:c>
      <x:c r="F22" t="n">
        <x:v>20</x:v>
      </x:c>
      <x:c r="G22" s="2" t="n">
        <x:v>324000</x:v>
      </x:c>
      <x:c r="H22" s="2" t="n">
        <x:v>412000</x:v>
      </x:c>
      <x:c r="I22" s="3" t="n">
        <x:v>0.30303030303030304</x:v>
      </x:c>
      <x:c r="J22" t="n">
        <x:v>59</x:v>
      </x:c>
    </x:row>
    <x:row r="23">
      <x:c r="A23" s="1" t="n">
        <x:v>45413</x:v>
      </x:c>
      <x:c r="B23" t="str">
        <x:v>2024-05</x:v>
      </x:c>
      <x:c r="C23" t="str">
        <x:v>Emre Kaya</x:v>
      </x:c>
      <x:c r="D23" t="n">
        <x:v>254</x:v>
      </x:c>
      <x:c r="E23" t="n">
        <x:v>62</x:v>
      </x:c>
      <x:c r="F23" t="n">
        <x:v>19</x:v>
      </x:c>
      <x:c r="G23" s="2" t="n">
        <x:v>323000</x:v>
      </x:c>
      <x:c r="H23" s="2" t="n">
        <x:v>376000</x:v>
      </x:c>
      <x:c r="I23" s="3" t="n">
        <x:v>0.3064516129032258</x:v>
      </x:c>
      <x:c r="J23" t="n">
        <x:v>57</x:v>
      </x:c>
    </x:row>
    <x:row r="24">
      <x:c r="A24" s="1" t="n">
        <x:v>45413</x:v>
      </x:c>
      <x:c r="B24" t="str">
        <x:v>2024-05</x:v>
      </x:c>
      <x:c r="C24" t="str">
        <x:v>Selin Yılmaz</x:v>
      </x:c>
      <x:c r="D24" t="n">
        <x:v>265</x:v>
      </x:c>
      <x:c r="E24" t="n">
        <x:v>67</x:v>
      </x:c>
      <x:c r="F24" t="n">
        <x:v>21</x:v>
      </x:c>
      <x:c r="G24" s="2" t="n">
        <x:v>373000</x:v>
      </x:c>
      <x:c r="H24" s="2" t="n">
        <x:v>358000</x:v>
      </x:c>
      <x:c r="I24" s="3" t="n">
        <x:v>0.31343283582089554</x:v>
      </x:c>
      <x:c r="J24" t="n">
        <x:v>56</x:v>
      </x:c>
    </x:row>
    <x:row r="25">
      <x:c r="A25" s="1" t="n">
        <x:v>45413</x:v>
      </x:c>
      <x:c r="B25" t="str">
        <x:v>2024-05</x:v>
      </x:c>
      <x:c r="C25" t="str">
        <x:v>Can Arslan</x:v>
      </x:c>
      <x:c r="D25" t="n">
        <x:v>259</x:v>
      </x:c>
      <x:c r="E25" t="n">
        <x:v>67</x:v>
      </x:c>
      <x:c r="F25" t="n">
        <x:v>21</x:v>
      </x:c>
      <x:c r="G25" s="2" t="n">
        <x:v>390000</x:v>
      </x:c>
      <x:c r="H25" s="2" t="n">
        <x:v>340000</x:v>
      </x:c>
      <x:c r="I25" s="3" t="n">
        <x:v>0.31343283582089554</x:v>
      </x:c>
      <x:c r="J25" t="n">
        <x:v>54</x:v>
      </x:c>
    </x:row>
    <x:row r="26">
      <x:c r="A26" s="1" t="n">
        <x:v>45413</x:v>
      </x:c>
      <x:c r="B26" t="str">
        <x:v>2024-05</x:v>
      </x:c>
      <x:c r="C26" t="str">
        <x:v>Deniz Koç</x:v>
      </x:c>
      <x:c r="D26" t="n">
        <x:v>215</x:v>
      </x:c>
      <x:c r="E26" t="n">
        <x:v>57</x:v>
      </x:c>
      <x:c r="F26" t="n">
        <x:v>19</x:v>
      </x:c>
      <x:c r="G26" s="2" t="n">
        <x:v>368000</x:v>
      </x:c>
      <x:c r="H26" s="2" t="n">
        <x:v>305000</x:v>
      </x:c>
      <x:c r="I26" s="3" t="n">
        <x:v>0.3333333333333333</x:v>
      </x:c>
      <x:c r="J26" t="n">
        <x:v>52</x:v>
      </x:c>
    </x:row>
    <x:row r="27">
      <x:c r="A27" s="1" t="n">
        <x:v>45444</x:v>
      </x:c>
      <x:c r="B27" t="str">
        <x:v>2024-06</x:v>
      </x:c>
      <x:c r="C27" t="str">
        <x:v>Ayşe Demir</x:v>
      </x:c>
      <x:c r="D27" t="n">
        <x:v>265</x:v>
      </x:c>
      <x:c r="E27" t="n">
        <x:v>62</x:v>
      </x:c>
      <x:c r="F27" t="n">
        <x:v>19</x:v>
      </x:c>
      <x:c r="G27" s="2" t="n">
        <x:v>304000</x:v>
      </x:c>
      <x:c r="H27" s="2" t="n">
        <x:v>388000</x:v>
      </x:c>
      <x:c r="I27" s="3" t="n">
        <x:v>0.3064516129032258</x:v>
      </x:c>
      <x:c r="J27" t="n">
        <x:v>58</x:v>
      </x:c>
    </x:row>
    <x:row r="28">
      <x:c r="A28" s="1" t="n">
        <x:v>45444</x:v>
      </x:c>
      <x:c r="B28" t="str">
        <x:v>2024-06</x:v>
      </x:c>
      <x:c r="C28" t="str">
        <x:v>Emre Kaya</x:v>
      </x:c>
      <x:c r="D28" t="n">
        <x:v>261</x:v>
      </x:c>
      <x:c r="E28" t="n">
        <x:v>63</x:v>
      </x:c>
      <x:c r="F28" t="n">
        <x:v>19</x:v>
      </x:c>
      <x:c r="G28" s="2" t="n">
        <x:v>319000</x:v>
      </x:c>
      <x:c r="H28" s="2" t="n">
        <x:v>355000</x:v>
      </x:c>
      <x:c r="I28" s="3" t="n">
        <x:v>0.30158730158730157</x:v>
      </x:c>
      <x:c r="J28" t="n">
        <x:v>56</x:v>
      </x:c>
    </x:row>
    <x:row r="29">
      <x:c r="A29" s="1" t="n">
        <x:v>45444</x:v>
      </x:c>
      <x:c r="B29" t="str">
        <x:v>2024-06</x:v>
      </x:c>
      <x:c r="C29" t="str">
        <x:v>Selin Yılmaz</x:v>
      </x:c>
      <x:c r="D29" t="n">
        <x:v>264</x:v>
      </x:c>
      <x:c r="E29" t="n">
        <x:v>66</x:v>
      </x:c>
      <x:c r="F29" t="n">
        <x:v>20</x:v>
      </x:c>
      <x:c r="G29" s="2" t="n">
        <x:v>351000</x:v>
      </x:c>
      <x:c r="H29" s="2" t="n">
        <x:v>338000</x:v>
      </x:c>
      <x:c r="I29" s="3" t="n">
        <x:v>0.30303030303030304</x:v>
      </x:c>
      <x:c r="J29" t="n">
        <x:v>55</x:v>
      </x:c>
    </x:row>
    <x:row r="30">
      <x:c r="A30" s="1" t="n">
        <x:v>45444</x:v>
      </x:c>
      <x:c r="B30" t="str">
        <x:v>2024-06</x:v>
      </x:c>
      <x:c r="C30" t="str">
        <x:v>Can Arslan</x:v>
      </x:c>
      <x:c r="D30" t="n">
        <x:v>238</x:v>
      </x:c>
      <x:c r="E30" t="n">
        <x:v>62</x:v>
      </x:c>
      <x:c r="F30" t="n">
        <x:v>19</x:v>
      </x:c>
      <x:c r="G30" s="2" t="n">
        <x:v>349000</x:v>
      </x:c>
      <x:c r="H30" s="2" t="n">
        <x:v>321000</x:v>
      </x:c>
      <x:c r="I30" s="3" t="n">
        <x:v>0.3064516129032258</x:v>
      </x:c>
      <x:c r="J30" t="n">
        <x:v>53</x:v>
      </x:c>
    </x:row>
    <x:row r="31">
      <x:c r="A31" s="1" t="n">
        <x:v>45444</x:v>
      </x:c>
      <x:c r="B31" t="str">
        <x:v>2024-06</x:v>
      </x:c>
      <x:c r="C31" t="str">
        <x:v>Deniz Koç</x:v>
      </x:c>
      <x:c r="D31" t="n">
        <x:v>196</x:v>
      </x:c>
      <x:c r="E31" t="n">
        <x:v>52</x:v>
      </x:c>
      <x:c r="F31" t="n">
        <x:v>17</x:v>
      </x:c>
      <x:c r="G31" s="2" t="n">
        <x:v>325000</x:v>
      </x:c>
      <x:c r="H31" s="2" t="n">
        <x:v>287000</x:v>
      </x:c>
      <x:c r="I31" s="3" t="n">
        <x:v>0.3269230769230769</x:v>
      </x:c>
      <x:c r="J31" t="n">
        <x:v>51</x:v>
      </x:c>
    </x:row>
    <x:row r="32">
      <x:c r="A32" s="1" t="n">
        <x:v>45474</x:v>
      </x:c>
      <x:c r="B32" t="str">
        <x:v>2024-07</x:v>
      </x:c>
      <x:c r="C32" t="str">
        <x:v>Ayşe Demir</x:v>
      </x:c>
      <x:c r="D32" t="n">
        <x:v>249</x:v>
      </x:c>
      <x:c r="E32" t="n">
        <x:v>59</x:v>
      </x:c>
      <x:c r="F32" t="n">
        <x:v>18</x:v>
      </x:c>
      <x:c r="G32" s="2" t="n">
        <x:v>288000</x:v>
      </x:c>
      <x:c r="H32" s="2" t="n">
        <x:v>366000</x:v>
      </x:c>
      <x:c r="I32" s="3" t="n">
        <x:v>0.3050847457627119</x:v>
      </x:c>
      <x:c r="J32" t="n">
        <x:v>58</x:v>
      </x:c>
    </x:row>
    <x:row r="33">
      <x:c r="A33" s="1" t="n">
        <x:v>45474</x:v>
      </x:c>
      <x:c r="B33" t="str">
        <x:v>2024-07</x:v>
      </x:c>
      <x:c r="C33" t="str">
        <x:v>Emre Kaya</x:v>
      </x:c>
      <x:c r="D33" t="n">
        <x:v>247</x:v>
      </x:c>
      <x:c r="E33" t="n">
        <x:v>60</x:v>
      </x:c>
      <x:c r="F33" t="n">
        <x:v>18</x:v>
      </x:c>
      <x:c r="G33" s="2" t="n">
        <x:v>302000</x:v>
      </x:c>
      <x:c r="H33" s="2" t="n">
        <x:v>334000</x:v>
      </x:c>
      <x:c r="I33" s="3" t="n">
        <x:v>0.3</x:v>
      </x:c>
      <x:c r="J33" t="n">
        <x:v>56</x:v>
      </x:c>
    </x:row>
    <x:row r="34">
      <x:c r="A34" s="1" t="n">
        <x:v>45474</x:v>
      </x:c>
      <x:c r="B34" t="str">
        <x:v>2024-07</x:v>
      </x:c>
      <x:c r="C34" t="str">
        <x:v>Selin Yılmaz</x:v>
      </x:c>
      <x:c r="D34" t="n">
        <x:v>230</x:v>
      </x:c>
      <x:c r="E34" t="n">
        <x:v>58</x:v>
      </x:c>
      <x:c r="F34" t="n">
        <x:v>17</x:v>
      </x:c>
      <x:c r="G34" s="2" t="n">
        <x:v>299000</x:v>
      </x:c>
      <x:c r="H34" s="2" t="n">
        <x:v>318000</x:v>
      </x:c>
      <x:c r="I34" s="3" t="n">
        <x:v>0.29310344827586204</x:v>
      </x:c>
      <x:c r="J34" t="n">
        <x:v>55</x:v>
      </x:c>
    </x:row>
    <x:row r="35">
      <x:c r="A35" s="1" t="n">
        <x:v>45474</x:v>
      </x:c>
      <x:c r="B35" t="str">
        <x:v>2024-07</x:v>
      </x:c>
      <x:c r="C35" t="str">
        <x:v>Can Arslan</x:v>
      </x:c>
      <x:c r="D35" t="n">
        <x:v>200</x:v>
      </x:c>
      <x:c r="E35" t="n">
        <x:v>52</x:v>
      </x:c>
      <x:c r="F35" t="n">
        <x:v>16</x:v>
      </x:c>
      <x:c r="G35" s="2" t="n">
        <x:v>294000</x:v>
      </x:c>
      <x:c r="H35" s="2" t="n">
        <x:v>302000</x:v>
      </x:c>
      <x:c r="I35" s="3" t="n">
        <x:v>0.3076923076923077</x:v>
      </x:c>
      <x:c r="J35" t="n">
        <x:v>53</x:v>
      </x:c>
    </x:row>
    <x:row r="36">
      <x:c r="A36" s="1" t="n">
        <x:v>45474</x:v>
      </x:c>
      <x:c r="B36" t="str">
        <x:v>2024-07</x:v>
      </x:c>
      <x:c r="C36" t="str">
        <x:v>Deniz Koç</x:v>
      </x:c>
      <x:c r="D36" t="n">
        <x:v>177</x:v>
      </x:c>
      <x:c r="E36" t="n">
        <x:v>47</x:v>
      </x:c>
      <x:c r="F36" t="n">
        <x:v>16</x:v>
      </x:c>
      <x:c r="G36" s="2" t="n">
        <x:v>306000</x:v>
      </x:c>
      <x:c r="H36" s="2" t="n">
        <x:v>270000</x:v>
      </x:c>
      <x:c r="I36" s="3" t="n">
        <x:v>0.3404255319148936</x:v>
      </x:c>
      <x:c r="J36" t="n">
        <x:v>51</x:v>
      </x:c>
    </x:row>
    <x:row r="37">
      <x:c r="A37" s="1" t="n">
        <x:v>45505</x:v>
      </x:c>
      <x:c r="B37" t="str">
        <x:v>2024-08</x:v>
      </x:c>
      <x:c r="C37" t="str">
        <x:v>Ayşe Demir</x:v>
      </x:c>
      <x:c r="D37" t="n">
        <x:v>273</x:v>
      </x:c>
      <x:c r="E37" t="n">
        <x:v>64</x:v>
      </x:c>
      <x:c r="F37" t="n">
        <x:v>19</x:v>
      </x:c>
      <x:c r="G37" s="2" t="n">
        <x:v>304000</x:v>
      </x:c>
      <x:c r="H37" s="2" t="n">
        <x:v>374000</x:v>
      </x:c>
      <x:c r="I37" s="3" t="n">
        <x:v>0.296875</x:v>
      </x:c>
      <x:c r="J37" t="n">
        <x:v>56</x:v>
      </x:c>
    </x:row>
    <x:row r="38">
      <x:c r="A38" s="1" t="n">
        <x:v>45505</x:v>
      </x:c>
      <x:c r="B38" t="str">
        <x:v>2024-08</x:v>
      </x:c>
      <x:c r="C38" t="str">
        <x:v>Emre Kaya</x:v>
      </x:c>
      <x:c r="D38" t="n">
        <x:v>252</x:v>
      </x:c>
      <x:c r="E38" t="n">
        <x:v>61</x:v>
      </x:c>
      <x:c r="F38" t="n">
        <x:v>18</x:v>
      </x:c>
      <x:c r="G38" s="2" t="n">
        <x:v>302000</x:v>
      </x:c>
      <x:c r="H38" s="2" t="n">
        <x:v>341000</x:v>
      </x:c>
      <x:c r="I38" s="3" t="n">
        <x:v>0.29508196721311475</x:v>
      </x:c>
      <x:c r="J38" t="n">
        <x:v>54</x:v>
      </x:c>
    </x:row>
    <x:row r="39">
      <x:c r="A39" s="1" t="n">
        <x:v>45505</x:v>
      </x:c>
      <x:c r="B39" t="str">
        <x:v>2024-08</x:v>
      </x:c>
      <x:c r="C39" t="str">
        <x:v>Selin Yılmaz</x:v>
      </x:c>
      <x:c r="D39" t="n">
        <x:v>221</x:v>
      </x:c>
      <x:c r="E39" t="n">
        <x:v>55</x:v>
      </x:c>
      <x:c r="F39" t="n">
        <x:v>16</x:v>
      </x:c>
      <x:c r="G39" s="2" t="n">
        <x:v>281000</x:v>
      </x:c>
      <x:c r="H39" s="2" t="n">
        <x:v>325000</x:v>
      </x:c>
      <x:c r="I39" s="3" t="n">
        <x:v>0.2909090909090909</x:v>
      </x:c>
      <x:c r="J39" t="n">
        <x:v>53</x:v>
      </x:c>
    </x:row>
    <x:row r="40">
      <x:c r="A40" s="1" t="n">
        <x:v>45505</x:v>
      </x:c>
      <x:c r="B40" t="str">
        <x:v>2024-08</x:v>
      </x:c>
      <x:c r="C40" t="str">
        <x:v>Can Arslan</x:v>
      </x:c>
      <x:c r="D40" t="n">
        <x:v>201</x:v>
      </x:c>
      <x:c r="E40" t="n">
        <x:v>52</x:v>
      </x:c>
      <x:c r="F40" t="n">
        <x:v>16</x:v>
      </x:c>
      <x:c r="G40" s="2" t="n">
        <x:v>294000</x:v>
      </x:c>
      <x:c r="H40" s="2" t="n">
        <x:v>309000</x:v>
      </x:c>
      <x:c r="I40" s="3" t="n">
        <x:v>0.3076923076923077</x:v>
      </x:c>
      <x:c r="J40" t="n">
        <x:v>51</x:v>
      </x:c>
    </x:row>
    <x:row r="41">
      <x:c r="A41" s="1" t="n">
        <x:v>45505</x:v>
      </x:c>
      <x:c r="B41" t="str">
        <x:v>2024-08</x:v>
      </x:c>
      <x:c r="C41" t="str">
        <x:v>Deniz Koç</x:v>
      </x:c>
      <x:c r="D41" t="n">
        <x:v>193</x:v>
      </x:c>
      <x:c r="E41" t="n">
        <x:v>52</x:v>
      </x:c>
      <x:c r="F41" t="n">
        <x:v>18</x:v>
      </x:c>
      <x:c r="G41" s="2" t="n">
        <x:v>345000</x:v>
      </x:c>
      <x:c r="H41" s="2" t="n">
        <x:v>276000</x:v>
      </x:c>
      <x:c r="I41" s="3" t="n">
        <x:v>0.34615384615384615</x:v>
      </x:c>
      <x:c r="J41" t="n">
        <x:v>49</x:v>
      </x:c>
    </x:row>
    <x:row r="42">
      <x:c r="A42" s="1" t="n">
        <x:v>45536</x:v>
      </x:c>
      <x:c r="B42" t="str">
        <x:v>2024-09</x:v>
      </x:c>
      <x:c r="C42" t="str">
        <x:v>Ayşe Demir</x:v>
      </x:c>
      <x:c r="D42" t="n">
        <x:v>316</x:v>
      </x:c>
      <x:c r="E42" t="n">
        <x:v>74</x:v>
      </x:c>
      <x:c r="F42" t="n">
        <x:v>21</x:v>
      </x:c>
      <x:c r="G42" s="2" t="n">
        <x:v>338000</x:v>
      </x:c>
      <x:c r="H42" s="2" t="n">
        <x:v>406000</x:v>
      </x:c>
      <x:c r="I42" s="3" t="n">
        <x:v>0.28378378378378377</x:v>
      </x:c>
      <x:c r="J42" t="n">
        <x:v>55</x:v>
      </x:c>
    </x:row>
    <x:row r="43">
      <x:c r="A43" s="1" t="n">
        <x:v>45536</x:v>
      </x:c>
      <x:c r="B43" t="str">
        <x:v>2024-09</x:v>
      </x:c>
      <x:c r="C43" t="str">
        <x:v>Emre Kaya</x:v>
      </x:c>
      <x:c r="D43" t="n">
        <x:v>270</x:v>
      </x:c>
      <x:c r="E43" t="n">
        <x:v>66</x:v>
      </x:c>
      <x:c r="F43" t="n">
        <x:v>19</x:v>
      </x:c>
      <x:c r="G43" s="2" t="n">
        <x:v>321000</x:v>
      </x:c>
      <x:c r="H43" s="2" t="n">
        <x:v>371000</x:v>
      </x:c>
      <x:c r="I43" s="3" t="n">
        <x:v>0.2878787878787879</x:v>
      </x:c>
      <x:c r="J43" t="n">
        <x:v>53</x:v>
      </x:c>
    </x:row>
    <x:row r="44">
      <x:c r="A44" s="1" t="n">
        <x:v>45536</x:v>
      </x:c>
      <x:c r="B44" t="str">
        <x:v>2024-09</x:v>
      </x:c>
      <x:c r="C44" t="str">
        <x:v>Selin Yılmaz</x:v>
      </x:c>
      <x:c r="D44" t="n">
        <x:v>239</x:v>
      </x:c>
      <x:c r="E44" t="n">
        <x:v>60</x:v>
      </x:c>
      <x:c r="F44" t="n">
        <x:v>18</x:v>
      </x:c>
      <x:c r="G44" s="2" t="n">
        <x:v>318000</x:v>
      </x:c>
      <x:c r="H44" s="2" t="n">
        <x:v>353000</x:v>
      </x:c>
      <x:c r="I44" s="3" t="n">
        <x:v>0.3</x:v>
      </x:c>
      <x:c r="J44" t="n">
        <x:v>52</x:v>
      </x:c>
    </x:row>
    <x:row r="45">
      <x:c r="A45" s="1" t="n">
        <x:v>45536</x:v>
      </x:c>
      <x:c r="B45" t="str">
        <x:v>2024-09</x:v>
      </x:c>
      <x:c r="C45" t="str">
        <x:v>Can Arslan</x:v>
      </x:c>
      <x:c r="D45" t="n">
        <x:v>238</x:v>
      </x:c>
      <x:c r="E45" t="n">
        <x:v>62</x:v>
      </x:c>
      <x:c r="F45" t="n">
        <x:v>20</x:v>
      </x:c>
      <x:c r="G45" s="2" t="n">
        <x:v>369000</x:v>
      </x:c>
      <x:c r="H45" s="2" t="n">
        <x:v>335000</x:v>
      </x:c>
      <x:c r="I45" s="3" t="n">
        <x:v>0.3225806451612903</x:v>
      </x:c>
      <x:c r="J45" t="n">
        <x:v>50</x:v>
      </x:c>
    </x:row>
    <x:row r="46">
      <x:c r="A46" s="1" t="n">
        <x:v>45536</x:v>
      </x:c>
      <x:c r="B46" t="str">
        <x:v>2024-09</x:v>
      </x:c>
      <x:c r="C46" t="str">
        <x:v>Deniz Koç</x:v>
      </x:c>
      <x:c r="D46" t="n">
        <x:v>231</x:v>
      </x:c>
      <x:c r="E46" t="n">
        <x:v>62</x:v>
      </x:c>
      <x:c r="F46" t="n">
        <x:v>22</x:v>
      </x:c>
      <x:c r="G46" s="2" t="n">
        <x:v>424000</x:v>
      </x:c>
      <x:c r="H46" s="2" t="n">
        <x:v>300000</x:v>
      </x:c>
      <x:c r="I46" s="3" t="n">
        <x:v>0.3548387096774194</x:v>
      </x:c>
      <x:c r="J46" t="n">
        <x:v>48</x:v>
      </x:c>
    </x:row>
    <x:row r="47">
      <x:c r="A47" s="1" t="n">
        <x:v>45566</x:v>
      </x:c>
      <x:c r="B47" t="str">
        <x:v>2024-10</x:v>
      </x:c>
      <x:c r="C47" t="str">
        <x:v>Ayşe Demir</x:v>
      </x:c>
      <x:c r="D47" t="n">
        <x:v>314</x:v>
      </x:c>
      <x:c r="E47" t="n">
        <x:v>74</x:v>
      </x:c>
      <x:c r="F47" t="n">
        <x:v>21</x:v>
      </x:c>
      <x:c r="G47" s="2" t="n">
        <x:v>342000</x:v>
      </x:c>
      <x:c r="H47" s="2" t="n">
        <x:v>430000</x:v>
      </x:c>
      <x:c r="I47" s="3" t="n">
        <x:v>0.28378378378378377</x:v>
      </x:c>
      <x:c r="J47" t="n">
        <x:v>54</x:v>
      </x:c>
    </x:row>
    <x:row r="48">
      <x:c r="A48" s="1" t="n">
        <x:v>45566</x:v>
      </x:c>
      <x:c r="B48" t="str">
        <x:v>2024-10</x:v>
      </x:c>
      <x:c r="C48" t="str">
        <x:v>Emre Kaya</x:v>
      </x:c>
      <x:c r="D48" t="n">
        <x:v>262</x:v>
      </x:c>
      <x:c r="E48" t="n">
        <x:v>64</x:v>
      </x:c>
      <x:c r="F48" t="n">
        <x:v>18</x:v>
      </x:c>
      <x:c r="G48" s="2" t="n">
        <x:v>307000</x:v>
      </x:c>
      <x:c r="H48" s="2" t="n">
        <x:v>393000</x:v>
      </x:c>
      <x:c r="I48" s="3" t="n">
        <x:v>0.28125</x:v>
      </x:c>
      <x:c r="J48" t="n">
        <x:v>52</x:v>
      </x:c>
    </x:row>
    <x:row r="49">
      <x:c r="A49" s="1" t="n">
        <x:v>45566</x:v>
      </x:c>
      <x:c r="B49" t="str">
        <x:v>2024-10</x:v>
      </x:c>
      <x:c r="C49" t="str">
        <x:v>Selin Yılmaz</x:v>
      </x:c>
      <x:c r="D49" t="n">
        <x:v>252</x:v>
      </x:c>
      <x:c r="E49" t="n">
        <x:v>63</x:v>
      </x:c>
      <x:c r="F49" t="n">
        <x:v>19</x:v>
      </x:c>
      <x:c r="G49" s="2" t="n">
        <x:v>340000</x:v>
      </x:c>
      <x:c r="H49" s="2" t="n">
        <x:v>374000</x:v>
      </x:c>
      <x:c r="I49" s="3" t="n">
        <x:v>0.30158730158730157</x:v>
      </x:c>
      <x:c r="J49" t="n">
        <x:v>51</x:v>
      </x:c>
    </x:row>
    <x:row r="50">
      <x:c r="A50" s="1" t="n">
        <x:v>45566</x:v>
      </x:c>
      <x:c r="B50" t="str">
        <x:v>2024-10</x:v>
      </x:c>
      <x:c r="C50" t="str">
        <x:v>Can Arslan</x:v>
      </x:c>
      <x:c r="D50" t="n">
        <x:v>262</x:v>
      </x:c>
      <x:c r="E50" t="n">
        <x:v>68</x:v>
      </x:c>
      <x:c r="F50" t="n">
        <x:v>22</x:v>
      </x:c>
      <x:c r="G50" s="2" t="n">
        <x:v>411000</x:v>
      </x:c>
      <x:c r="H50" s="2" t="n">
        <x:v>355000</x:v>
      </x:c>
      <x:c r="I50" s="3" t="n">
        <x:v>0.3235294117647059</x:v>
      </x:c>
      <x:c r="J50" t="n">
        <x:v>49</x:v>
      </x:c>
    </x:row>
    <x:row r="51">
      <x:c r="A51" s="1" t="n">
        <x:v>45566</x:v>
      </x:c>
      <x:c r="B51" t="str">
        <x:v>2024-10</x:v>
      </x:c>
      <x:c r="C51" t="str">
        <x:v>Deniz Koç</x:v>
      </x:c>
      <x:c r="D51" t="n">
        <x:v>239</x:v>
      </x:c>
      <x:c r="E51" t="n">
        <x:v>64</x:v>
      </x:c>
      <x:c r="F51" t="n">
        <x:v>23</x:v>
      </x:c>
      <x:c r="G51" s="2" t="n">
        <x:v>448000</x:v>
      </x:c>
      <x:c r="H51" s="2" t="n">
        <x:v>318000</x:v>
      </x:c>
      <x:c r="I51" s="3" t="n">
        <x:v>0.359375</x:v>
      </x:c>
      <x:c r="J51" t="n">
        <x:v>47</x:v>
      </x:c>
    </x:row>
    <x:row r="52">
      <x:c r="A52" s="1" t="n">
        <x:v>45597</x:v>
      </x:c>
      <x:c r="B52" t="str">
        <x:v>2024-11</x:v>
      </x:c>
      <x:c r="C52" t="str">
        <x:v>Ayşe Demir</x:v>
      </x:c>
      <x:c r="D52" t="n">
        <x:v>292</x:v>
      </x:c>
      <x:c r="E52" t="n">
        <x:v>69</x:v>
      </x:c>
      <x:c r="F52" t="n">
        <x:v>19</x:v>
      </x:c>
      <x:c r="G52" s="2" t="n">
        <x:v>313000</x:v>
      </x:c>
      <x:c r="H52" s="2" t="n">
        <x:v>451000</x:v>
      </x:c>
      <x:c r="I52" s="3" t="n">
        <x:v>0.2753623188405797</x:v>
      </x:c>
      <x:c r="J52" t="n">
        <x:v>53</x:v>
      </x:c>
    </x:row>
    <x:row r="53">
      <x:c r="A53" s="1" t="n">
        <x:v>45597</x:v>
      </x:c>
      <x:c r="B53" t="str">
        <x:v>2024-11</x:v>
      </x:c>
      <x:c r="C53" t="str">
        <x:v>Emre Kaya</x:v>
      </x:c>
      <x:c r="D53" t="n">
        <x:v>259</x:v>
      </x:c>
      <x:c r="E53" t="n">
        <x:v>63</x:v>
      </x:c>
      <x:c r="F53" t="n">
        <x:v>18</x:v>
      </x:c>
      <x:c r="G53" s="2" t="n">
        <x:v>311000</x:v>
      </x:c>
      <x:c r="H53" s="2" t="n">
        <x:v>411000</x:v>
      </x:c>
      <x:c r="I53" s="3" t="n">
        <x:v>0.2857142857142857</x:v>
      </x:c>
      <x:c r="J53" t="n">
        <x:v>51</x:v>
      </x:c>
    </x:row>
    <x:row r="54">
      <x:c r="A54" s="1" t="n">
        <x:v>45597</x:v>
      </x:c>
      <x:c r="B54" t="str">
        <x:v>2024-11</x:v>
      </x:c>
      <x:c r="C54" t="str">
        <x:v>Selin Yılmaz</x:v>
      </x:c>
      <x:c r="D54" t="n">
        <x:v>268</x:v>
      </x:c>
      <x:c r="E54" t="n">
        <x:v>67</x:v>
      </x:c>
      <x:c r="F54" t="n">
        <x:v>20</x:v>
      </x:c>
      <x:c r="G54" s="2" t="n">
        <x:v>362000</x:v>
      </x:c>
      <x:c r="H54" s="2" t="n">
        <x:v>392000</x:v>
      </x:c>
      <x:c r="I54" s="3" t="n">
        <x:v>0.29850746268656714</x:v>
      </x:c>
      <x:c r="J54" t="n">
        <x:v>49</x:v>
      </x:c>
    </x:row>
    <x:row r="55">
      <x:c r="A55" s="1" t="n">
        <x:v>45597</x:v>
      </x:c>
      <x:c r="B55" t="str">
        <x:v>2024-11</x:v>
      </x:c>
      <x:c r="C55" t="str">
        <x:v>Can Arslan</x:v>
      </x:c>
      <x:c r="D55" t="n">
        <x:v>268</x:v>
      </x:c>
      <x:c r="E55" t="n">
        <x:v>69</x:v>
      </x:c>
      <x:c r="F55" t="n">
        <x:v>23</x:v>
      </x:c>
      <x:c r="G55" s="2" t="n">
        <x:v>434000</x:v>
      </x:c>
      <x:c r="H55" s="2" t="n">
        <x:v>372000</x:v>
      </x:c>
      <x:c r="I55" s="3" t="n">
        <x:v>0.3333333333333333</x:v>
      </x:c>
      <x:c r="J55" t="n">
        <x:v>48</x:v>
      </x:c>
    </x:row>
    <x:row r="56">
      <x:c r="A56" s="1" t="n">
        <x:v>45597</x:v>
      </x:c>
      <x:c r="B56" t="str">
        <x:v>2024-11</x:v>
      </x:c>
      <x:c r="C56" t="str">
        <x:v>Deniz Koç</x:v>
      </x:c>
      <x:c r="D56" t="n">
        <x:v>226</x:v>
      </x:c>
      <x:c r="E56" t="n">
        <x:v>60</x:v>
      </x:c>
      <x:c r="F56" t="n">
        <x:v>22</x:v>
      </x:c>
      <x:c r="G56" s="2" t="n">
        <x:v>433000</x:v>
      </x:c>
      <x:c r="H56" s="2" t="n">
        <x:v>333000</x:v>
      </x:c>
      <x:c r="I56" s="3" t="n">
        <x:v>0.36666666666666664</x:v>
      </x:c>
      <x:c r="J56" t="n">
        <x:v>46</x:v>
      </x:c>
    </x:row>
    <x:row r="57">
      <x:c r="A57" s="1" t="n">
        <x:v>45627</x:v>
      </x:c>
      <x:c r="B57" t="str">
        <x:v>2024-12</x:v>
      </x:c>
      <x:c r="C57" t="str">
        <x:v>Ayşe Demir</x:v>
      </x:c>
      <x:c r="D57" t="n">
        <x:v>302</x:v>
      </x:c>
      <x:c r="E57" t="n">
        <x:v>71</x:v>
      </x:c>
      <x:c r="F57" t="n">
        <x:v>19</x:v>
      </x:c>
      <x:c r="G57" s="2" t="n">
        <x:v>316000</x:v>
      </x:c>
      <x:c r="H57" s="2" t="n">
        <x:v>475000</x:v>
      </x:c>
      <x:c r="I57" s="3" t="n">
        <x:v>0.2676056338028169</x:v>
      </x:c>
      <x:c r="J57" t="n">
        <x:v>53</x:v>
      </x:c>
    </x:row>
    <x:row r="58">
      <x:c r="A58" s="1" t="n">
        <x:v>45627</x:v>
      </x:c>
      <x:c r="B58" t="str">
        <x:v>2024-12</x:v>
      </x:c>
      <x:c r="C58" t="str">
        <x:v>Emre Kaya</x:v>
      </x:c>
      <x:c r="D58" t="n">
        <x:v>293</x:v>
      </x:c>
      <x:c r="E58" t="n">
        <x:v>71</x:v>
      </x:c>
      <x:c r="F58" t="n">
        <x:v>20</x:v>
      </x:c>
      <x:c r="G58" s="2" t="n">
        <x:v>349000</x:v>
      </x:c>
      <x:c r="H58" s="2" t="n">
        <x:v>434000</x:v>
      </x:c>
      <x:c r="I58" s="3" t="n">
        <x:v>0.28169014084507044</x:v>
      </x:c>
      <x:c r="J58" t="n">
        <x:v>51</x:v>
      </x:c>
    </x:row>
    <x:row r="59">
      <x:c r="A59" s="1" t="n">
        <x:v>45627</x:v>
      </x:c>
      <x:c r="B59" t="str">
        <x:v>2024-12</x:v>
      </x:c>
      <x:c r="C59" t="str">
        <x:v>Selin Yılmaz</x:v>
      </x:c>
      <x:c r="D59" t="n">
        <x:v>301</x:v>
      </x:c>
      <x:c r="E59" t="n">
        <x:v>76</x:v>
      </x:c>
      <x:c r="F59" t="n">
        <x:v>23</x:v>
      </x:c>
      <x:c r="G59" s="2" t="n">
        <x:v>420000</x:v>
      </x:c>
      <x:c r="H59" s="2" t="n">
        <x:v>413000</x:v>
      </x:c>
      <x:c r="I59" s="3" t="n">
        <x:v>0.3026315789473684</x:v>
      </x:c>
      <x:c r="J59" t="n">
        <x:v>49</x:v>
      </x:c>
    </x:row>
    <x:row r="60">
      <x:c r="A60" s="1" t="n">
        <x:v>45627</x:v>
      </x:c>
      <x:c r="B60" t="str">
        <x:v>2024-12</x:v>
      </x:c>
      <x:c r="C60" t="str">
        <x:v>Can Arslan</x:v>
      </x:c>
      <x:c r="D60" t="n">
        <x:v>277</x:v>
      </x:c>
      <x:c r="E60" t="n">
        <x:v>72</x:v>
      </x:c>
      <x:c r="F60" t="n">
        <x:v>24</x:v>
      </x:c>
      <x:c r="G60" s="2" t="n">
        <x:v>458000</x:v>
      </x:c>
      <x:c r="H60" s="2" t="n">
        <x:v>393000</x:v>
      </x:c>
      <x:c r="I60" s="3" t="n">
        <x:v>0.3333333333333333</x:v>
      </x:c>
      <x:c r="J60" t="n">
        <x:v>48</x:v>
      </x:c>
    </x:row>
    <x:row r="61">
      <x:c r="A61" s="1" t="n">
        <x:v>45627</x:v>
      </x:c>
      <x:c r="B61" t="str">
        <x:v>2024-12</x:v>
      </x:c>
      <x:c r="C61" t="str">
        <x:v>Deniz Koç</x:v>
      </x:c>
      <x:c r="D61" t="n">
        <x:v>227</x:v>
      </x:c>
      <x:c r="E61" t="n">
        <x:v>61</x:v>
      </x:c>
      <x:c r="F61" t="n">
        <x:v>22</x:v>
      </x:c>
      <x:c r="G61" s="2" t="n">
        <x:v>438000</x:v>
      </x:c>
      <x:c r="H61" s="2" t="n">
        <x:v>351000</x:v>
      </x:c>
      <x:c r="I61" s="3" t="n">
        <x:v>0.36065573770491804</x:v>
      </x:c>
      <x:c r="J61" t="n">
        <x:v>46</x:v>
      </x:c>
    </x:row>
    <x:row r="62">
      <x:c r="A62" s="1" t="n">
        <x:v>45658</x:v>
      </x:c>
      <x:c r="B62" t="str">
        <x:v>2025-01</x:v>
      </x:c>
      <x:c r="C62" t="str">
        <x:v>Ayşe Demir</x:v>
      </x:c>
      <x:c r="D62" t="n">
        <x:v>275</x:v>
      </x:c>
      <x:c r="E62" t="n">
        <x:v>65</x:v>
      </x:c>
      <x:c r="F62" t="n">
        <x:v>17</x:v>
      </x:c>
      <x:c r="G62" s="2" t="n">
        <x:v>307000</x:v>
      </x:c>
      <x:c r="H62" s="2" t="n">
        <x:v>437000</x:v>
      </x:c>
      <x:c r="I62" s="3" t="n">
        <x:v>0.26153846153846155</x:v>
      </x:c>
      <x:c r="J62" t="n">
        <x:v>50</x:v>
      </x:c>
    </x:row>
    <x:row r="63">
      <x:c r="A63" s="1" t="n">
        <x:v>45658</x:v>
      </x:c>
      <x:c r="B63" t="str">
        <x:v>2025-01</x:v>
      </x:c>
      <x:c r="C63" t="str">
        <x:v>Emre Kaya</x:v>
      </x:c>
      <x:c r="D63" t="n">
        <x:v>274</x:v>
      </x:c>
      <x:c r="E63" t="n">
        <x:v>67</x:v>
      </x:c>
      <x:c r="F63" t="n">
        <x:v>19</x:v>
      </x:c>
      <x:c r="G63" s="2" t="n">
        <x:v>359000</x:v>
      </x:c>
      <x:c r="H63" s="2" t="n">
        <x:v>399000</x:v>
      </x:c>
      <x:c r="I63" s="3" t="n">
        <x:v>0.2835820895522388</x:v>
      </x:c>
      <x:c r="J63" t="n">
        <x:v>48</x:v>
      </x:c>
    </x:row>
    <x:row r="64">
      <x:c r="A64" s="1" t="n">
        <x:v>45658</x:v>
      </x:c>
      <x:c r="B64" t="str">
        <x:v>2025-01</x:v>
      </x:c>
      <x:c r="C64" t="str">
        <x:v>Selin Yılmaz</x:v>
      </x:c>
      <x:c r="D64" t="n">
        <x:v>262</x:v>
      </x:c>
      <x:c r="E64" t="n">
        <x:v>66</x:v>
      </x:c>
      <x:c r="F64" t="n">
        <x:v>20</x:v>
      </x:c>
      <x:c r="G64" s="2" t="n">
        <x:v>396000</x:v>
      </x:c>
      <x:c r="H64" s="2" t="n">
        <x:v>380000</x:v>
      </x:c>
      <x:c r="I64" s="3" t="n">
        <x:v>0.30303030303030304</x:v>
      </x:c>
      <x:c r="J64" t="n">
        <x:v>46</x:v>
      </x:c>
    </x:row>
    <x:row r="65">
      <x:c r="A65" s="1" t="n">
        <x:v>45658</x:v>
      </x:c>
      <x:c r="B65" t="str">
        <x:v>2025-01</x:v>
      </x:c>
      <x:c r="C65" t="str">
        <x:v>Can Arslan</x:v>
      </x:c>
      <x:c r="D65" t="n">
        <x:v>228</x:v>
      </x:c>
      <x:c r="E65" t="n">
        <x:v>59</x:v>
      </x:c>
      <x:c r="F65" t="n">
        <x:v>20</x:v>
      </x:c>
      <x:c r="G65" s="2" t="n">
        <x:v>414000</x:v>
      </x:c>
      <x:c r="H65" s="2" t="n">
        <x:v>361000</x:v>
      </x:c>
      <x:c r="I65" s="3" t="n">
        <x:v>0.3389830508474576</x:v>
      </x:c>
      <x:c r="J65" t="n">
        <x:v>45</x:v>
      </x:c>
    </x:row>
    <x:row r="66">
      <x:c r="A66" s="1" t="n">
        <x:v>45658</x:v>
      </x:c>
      <x:c r="B66" t="str">
        <x:v>2025-01</x:v>
      </x:c>
      <x:c r="C66" t="str">
        <x:v>Deniz Koç</x:v>
      </x:c>
      <x:c r="D66" t="n">
        <x:v>197</x:v>
      </x:c>
      <x:c r="E66" t="n">
        <x:v>53</x:v>
      </x:c>
      <x:c r="F66" t="n">
        <x:v>19</x:v>
      </x:c>
      <x:c r="G66" s="2" t="n">
        <x:v>410000</x:v>
      </x:c>
      <x:c r="H66" s="2" t="n">
        <x:v>323000</x:v>
      </x:c>
      <x:c r="I66" s="3" t="n">
        <x:v>0.3584905660377358</x:v>
      </x:c>
      <x:c r="J66" t="n">
        <x:v>43</x:v>
      </x:c>
    </x:row>
    <x:row r="67">
      <x:c r="A67" s="1" t="n">
        <x:v>45689</x:v>
      </x:c>
      <x:c r="B67" t="str">
        <x:v>2025-02</x:v>
      </x:c>
      <x:c r="C67" t="str">
        <x:v>Ayşe Demir</x:v>
      </x:c>
      <x:c r="D67" t="n">
        <x:v>293</x:v>
      </x:c>
      <x:c r="E67" t="n">
        <x:v>69</x:v>
      </x:c>
      <x:c r="F67" t="n">
        <x:v>18</x:v>
      </x:c>
      <x:c r="G67" s="2" t="n">
        <x:v>325000</x:v>
      </x:c>
      <x:c r="H67" s="2" t="n">
        <x:v>451000</x:v>
      </x:c>
      <x:c r="I67" s="3" t="n">
        <x:v>0.2608695652173913</x:v>
      </x:c>
      <x:c r="J67" t="n">
        <x:v>51</x:v>
      </x:c>
    </x:row>
    <x:row r="68">
      <x:c r="A68" s="1" t="n">
        <x:v>45689</x:v>
      </x:c>
      <x:c r="B68" t="str">
        <x:v>2025-02</x:v>
      </x:c>
      <x:c r="C68" t="str">
        <x:v>Emre Kaya</x:v>
      </x:c>
      <x:c r="D68" t="n">
        <x:v>278</x:v>
      </x:c>
      <x:c r="E68" t="n">
        <x:v>68</x:v>
      </x:c>
      <x:c r="F68" t="n">
        <x:v>19</x:v>
      </x:c>
      <x:c r="G68" s="2" t="n">
        <x:v>359000</x:v>
      </x:c>
      <x:c r="H68" s="2" t="n">
        <x:v>412000</x:v>
      </x:c>
      <x:c r="I68" s="3" t="n">
        <x:v>0.27941176470588236</x:v>
      </x:c>
      <x:c r="J68" t="n">
        <x:v>49</x:v>
      </x:c>
    </x:row>
    <x:row r="69">
      <x:c r="A69" s="1" t="n">
        <x:v>45689</x:v>
      </x:c>
      <x:c r="B69" t="str">
        <x:v>2025-02</x:v>
      </x:c>
      <x:c r="C69" t="str">
        <x:v>Selin Yılmaz</x:v>
      </x:c>
      <x:c r="D69" t="n">
        <x:v>246</x:v>
      </x:c>
      <x:c r="E69" t="n">
        <x:v>62</x:v>
      </x:c>
      <x:c r="F69" t="n">
        <x:v>20</x:v>
      </x:c>
      <x:c r="G69" s="2" t="n">
        <x:v>396000</x:v>
      </x:c>
      <x:c r="H69" s="2" t="n">
        <x:v>393000</x:v>
      </x:c>
      <x:c r="I69" s="3" t="n">
        <x:v>0.3225806451612903</x:v>
      </x:c>
      <x:c r="J69" t="n">
        <x:v>47</x:v>
      </x:c>
    </x:row>
    <x:row r="70">
      <x:c r="A70" s="1" t="n">
        <x:v>45689</x:v>
      </x:c>
      <x:c r="B70" t="str">
        <x:v>2025-02</x:v>
      </x:c>
      <x:c r="C70" t="str">
        <x:v>Can Arslan</x:v>
      </x:c>
      <x:c r="D70" t="n">
        <x:v>219</x:v>
      </x:c>
      <x:c r="E70" t="n">
        <x:v>57</x:v>
      </x:c>
      <x:c r="F70" t="n">
        <x:v>20</x:v>
      </x:c>
      <x:c r="G70" s="2" t="n">
        <x:v>414000</x:v>
      </x:c>
      <x:c r="H70" s="2" t="n">
        <x:v>373000</x:v>
      </x:c>
      <x:c r="I70" s="3" t="n">
        <x:v>0.3508771929824561</x:v>
      </x:c>
      <x:c r="J70" t="n">
        <x:v>46</x:v>
      </x:c>
    </x:row>
    <x:row r="71">
      <x:c r="A71" s="1" t="n">
        <x:v>45689</x:v>
      </x:c>
      <x:c r="B71" t="str">
        <x:v>2025-02</x:v>
      </x:c>
      <x:c r="C71" t="str">
        <x:v>Deniz Koç</x:v>
      </x:c>
      <x:c r="D71" t="n">
        <x:v>207</x:v>
      </x:c>
      <x:c r="E71" t="n">
        <x:v>55</x:v>
      </x:c>
      <x:c r="F71" t="n">
        <x:v>20</x:v>
      </x:c>
      <x:c r="G71" s="2" t="n">
        <x:v>431000</x:v>
      </x:c>
      <x:c r="H71" s="2" t="n">
        <x:v>334000</x:v>
      </x:c>
      <x:c r="I71" s="3" t="n">
        <x:v>0.36363636363636365</x:v>
      </x:c>
      <x:c r="J71" t="n">
        <x:v>44</x:v>
      </x:c>
    </x:row>
    <x:row r="72">
      <x:c r="A72" s="1" t="n">
        <x:v>45717</x:v>
      </x:c>
      <x:c r="B72" t="str">
        <x:v>2025-03</x:v>
      </x:c>
      <x:c r="C72" t="str">
        <x:v>Ayşe Demir</x:v>
      </x:c>
      <x:c r="D72" t="n">
        <x:v>316</x:v>
      </x:c>
      <x:c r="E72" t="n">
        <x:v>74</x:v>
      </x:c>
      <x:c r="F72" t="n">
        <x:v>19</x:v>
      </x:c>
      <x:c r="G72" s="2" t="n">
        <x:v>341000</x:v>
      </x:c>
      <x:c r="H72" s="2" t="n">
        <x:v>478000</x:v>
      </x:c>
      <x:c r="I72" s="3" t="n">
        <x:v>0.25675675675675674</x:v>
      </x:c>
      <x:c r="J72" t="n">
        <x:v>52</x:v>
      </x:c>
    </x:row>
    <x:row r="73">
      <x:c r="A73" s="1" t="n">
        <x:v>45717</x:v>
      </x:c>
      <x:c r="B73" t="str">
        <x:v>2025-03</x:v>
      </x:c>
      <x:c r="C73" t="str">
        <x:v>Emre Kaya</x:v>
      </x:c>
      <x:c r="D73" t="n">
        <x:v>276</x:v>
      </x:c>
      <x:c r="E73" t="n">
        <x:v>67</x:v>
      </x:c>
      <x:c r="F73" t="n">
        <x:v>19</x:v>
      </x:c>
      <x:c r="G73" s="2" t="n">
        <x:v>358000</x:v>
      </x:c>
      <x:c r="H73" s="2" t="n">
        <x:v>436000</x:v>
      </x:c>
      <x:c r="I73" s="3" t="n">
        <x:v>0.2835820895522388</x:v>
      </x:c>
      <x:c r="J73" t="n">
        <x:v>50</x:v>
      </x:c>
    </x:row>
    <x:row r="74">
      <x:c r="A74" s="1" t="n">
        <x:v>45717</x:v>
      </x:c>
      <x:c r="B74" t="str">
        <x:v>2025-03</x:v>
      </x:c>
      <x:c r="C74" t="str">
        <x:v>Selin Yılmaz</x:v>
      </x:c>
      <x:c r="D74" t="n">
        <x:v>241</x:v>
      </x:c>
      <x:c r="E74" t="n">
        <x:v>60</x:v>
      </x:c>
      <x:c r="F74" t="n">
        <x:v>19</x:v>
      </x:c>
      <x:c r="G74" s="2" t="n">
        <x:v>374000</x:v>
      </x:c>
      <x:c r="H74" s="2" t="n">
        <x:v>416000</x:v>
      </x:c>
      <x:c r="I74" s="3" t="n">
        <x:v>0.31666666666666665</x:v>
      </x:c>
      <x:c r="J74" t="n">
        <x:v>48</x:v>
      </x:c>
    </x:row>
    <x:row r="75">
      <x:c r="A75" s="1" t="n">
        <x:v>45717</x:v>
      </x:c>
      <x:c r="B75" t="str">
        <x:v>2025-03</x:v>
      </x:c>
      <x:c r="C75" t="str">
        <x:v>Can Arslan</x:v>
      </x:c>
      <x:c r="D75" t="n">
        <x:v>234</x:v>
      </x:c>
      <x:c r="E75" t="n">
        <x:v>61</x:v>
      </x:c>
      <x:c r="F75" t="n">
        <x:v>21</x:v>
      </x:c>
      <x:c r="G75" s="2" t="n">
        <x:v>432000</x:v>
      </x:c>
      <x:c r="H75" s="2" t="n">
        <x:v>395000</x:v>
      </x:c>
      <x:c r="I75" s="3" t="n">
        <x:v>0.3442622950819672</x:v>
      </x:c>
      <x:c r="J75" t="n">
        <x:v>47</x:v>
      </x:c>
    </x:row>
    <x:row r="76">
      <x:c r="A76" s="1" t="n">
        <x:v>45717</x:v>
      </x:c>
      <x:c r="B76" t="str">
        <x:v>2025-03</x:v>
      </x:c>
      <x:c r="C76" t="str">
        <x:v>Deniz Koç</x:v>
      </x:c>
      <x:c r="D76" t="n">
        <x:v>229</x:v>
      </x:c>
      <x:c r="E76" t="n">
        <x:v>61</x:v>
      </x:c>
      <x:c r="F76" t="n">
        <x:v>22</x:v>
      </x:c>
      <x:c r="G76" s="2" t="n">
        <x:v>472000</x:v>
      </x:c>
      <x:c r="H76" s="2" t="n">
        <x:v>353000</x:v>
      </x:c>
      <x:c r="I76" s="3" t="n">
        <x:v>0.36065573770491804</x:v>
      </x:c>
      <x:c r="J76" t="n">
        <x:v>45</x:v>
      </x:c>
    </x:row>
    <x:row r="77">
      <x:c r="A77" s="1" t="n">
        <x:v>45748</x:v>
      </x:c>
      <x:c r="B77" t="str">
        <x:v>2025-04</x:v>
      </x:c>
      <x:c r="C77" t="str">
        <x:v>Ayşe Demir</x:v>
      </x:c>
      <x:c r="D77" t="n">
        <x:v>334</x:v>
      </x:c>
      <x:c r="E77" t="n">
        <x:v>78</x:v>
      </x:c>
      <x:c r="F77" t="n">
        <x:v>20</x:v>
      </x:c>
      <x:c r="G77" s="2" t="n">
        <x:v>355000</x:v>
      </x:c>
      <x:c r="H77" s="2" t="n">
        <x:v>492000</x:v>
      </x:c>
      <x:c r="I77" s="3" t="n">
        <x:v>0.2564102564102564</x:v>
      </x:c>
      <x:c r="J77" t="n">
        <x:v>54</x:v>
      </x:c>
    </x:row>
    <x:row r="78">
      <x:c r="A78" s="1" t="n">
        <x:v>45748</x:v>
      </x:c>
      <x:c r="B78" t="str">
        <x:v>2025-04</x:v>
      </x:c>
      <x:c r="C78" t="str">
        <x:v>Emre Kaya</x:v>
      </x:c>
      <x:c r="D78" t="n">
        <x:v>278</x:v>
      </x:c>
      <x:c r="E78" t="n">
        <x:v>68</x:v>
      </x:c>
      <x:c r="F78" t="n">
        <x:v>20</x:v>
      </x:c>
      <x:c r="G78" s="2" t="n">
        <x:v>372000</x:v>
      </x:c>
      <x:c r="H78" s="2" t="n">
        <x:v>449000</x:v>
      </x:c>
      <x:c r="I78" s="3" t="n">
        <x:v>0.29411764705882354</x:v>
      </x:c>
      <x:c r="J78" t="n">
        <x:v>52</x:v>
      </x:c>
    </x:row>
    <x:row r="79">
      <x:c r="A79" s="1" t="n">
        <x:v>45748</x:v>
      </x:c>
      <x:c r="B79" t="str">
        <x:v>2025-04</x:v>
      </x:c>
      <x:c r="C79" t="str">
        <x:v>Selin Yılmaz</x:v>
      </x:c>
      <x:c r="D79" t="n">
        <x:v>261</x:v>
      </x:c>
      <x:c r="E79" t="n">
        <x:v>66</x:v>
      </x:c>
      <x:c r="F79" t="n">
        <x:v>22</x:v>
      </x:c>
      <x:c r="G79" s="2" t="n">
        <x:v>429000</x:v>
      </x:c>
      <x:c r="H79" s="2" t="n">
        <x:v>428000</x:v>
      </x:c>
      <x:c r="I79" s="3" t="n">
        <x:v>0.3333333333333333</x:v>
      </x:c>
      <x:c r="J79" t="n">
        <x:v>51</x:v>
      </x:c>
    </x:row>
    <x:row r="80">
      <x:c r="A80" s="1" t="n">
        <x:v>45748</x:v>
      </x:c>
      <x:c r="B80" t="str">
        <x:v>2025-04</x:v>
      </x:c>
      <x:c r="C80" t="str">
        <x:v>Can Arslan</x:v>
      </x:c>
      <x:c r="D80" t="n">
        <x:v>270</x:v>
      </x:c>
      <x:c r="E80" t="n">
        <x:v>70</x:v>
      </x:c>
      <x:c r="F80" t="n">
        <x:v>25</x:v>
      </x:c>
      <x:c r="G80" s="2" t="n">
        <x:v>509000</x:v>
      </x:c>
      <x:c r="H80" s="2" t="n">
        <x:v>407000</x:v>
      </x:c>
      <x:c r="I80" s="3" t="n">
        <x:v>0.35714285714285715</x:v>
      </x:c>
      <x:c r="J80" t="n">
        <x:v>49</x:v>
      </x:c>
    </x:row>
    <x:row r="81">
      <x:c r="A81" s="1" t="n">
        <x:v>45748</x:v>
      </x:c>
      <x:c r="B81" t="str">
        <x:v>2025-04</x:v>
      </x:c>
      <x:c r="C81" t="str">
        <x:v>Deniz Koç</x:v>
      </x:c>
      <x:c r="D81" t="n">
        <x:v>252</x:v>
      </x:c>
      <x:c r="E81" t="n">
        <x:v>67</x:v>
      </x:c>
      <x:c r="F81" t="n">
        <x:v>24</x:v>
      </x:c>
      <x:c r="G81" s="2" t="n">
        <x:v>510000</x:v>
      </x:c>
      <x:c r="H81" s="2" t="n">
        <x:v>364000</x:v>
      </x:c>
      <x:c r="I81" s="3" t="n">
        <x:v>0.3582089552238806</x:v>
      </x:c>
      <x:c r="J81" t="n">
        <x:v>47</x:v>
      </x:c>
    </x:row>
    <x:row r="82">
      <x:c r="A82" s="1" t="n">
        <x:v>45778</x:v>
      </x:c>
      <x:c r="B82" t="str">
        <x:v>2025-05</x:v>
      </x:c>
      <x:c r="C82" t="str">
        <x:v>Ayşe Demir</x:v>
      </x:c>
      <x:c r="D82" t="n">
        <x:v>326</x:v>
      </x:c>
      <x:c r="E82" t="n">
        <x:v>77</x:v>
      </x:c>
      <x:c r="F82" t="n">
        <x:v>20</x:v>
      </x:c>
      <x:c r="G82" s="2" t="n">
        <x:v>351000</x:v>
      </x:c>
      <x:c r="H82" s="2" t="n">
        <x:v>501000</x:v>
      </x:c>
      <x:c r="I82" s="3" t="n">
        <x:v>0.2597402597402597</x:v>
      </x:c>
      <x:c r="J82" t="n">
        <x:v>55</x:v>
      </x:c>
    </x:row>
    <x:row r="83">
      <x:c r="A83" s="1" t="n">
        <x:v>45778</x:v>
      </x:c>
      <x:c r="B83" t="str">
        <x:v>2025-05</x:v>
      </x:c>
      <x:c r="C83" t="str">
        <x:v>Emre Kaya</x:v>
      </x:c>
      <x:c r="D83" t="n">
        <x:v>283</x:v>
      </x:c>
      <x:c r="E83" t="n">
        <x:v>69</x:v>
      </x:c>
      <x:c r="F83" t="n">
        <x:v>21</x:v>
      </x:c>
      <x:c r="G83" s="2" t="n">
        <x:v>387000</x:v>
      </x:c>
      <x:c r="H83" s="2" t="n">
        <x:v>458000</x:v>
      </x:c>
      <x:c r="I83" s="3" t="n">
        <x:v>0.30434782608695654</x:v>
      </x:c>
      <x:c r="J83" t="n">
        <x:v>53</x:v>
      </x:c>
    </x:row>
    <x:row r="84">
      <x:c r="A84" s="1" t="n">
        <x:v>45778</x:v>
      </x:c>
      <x:c r="B84" t="str">
        <x:v>2025-05</x:v>
      </x:c>
      <x:c r="C84" t="str">
        <x:v>Selin Yılmaz</x:v>
      </x:c>
      <x:c r="D84" t="n">
        <x:v>289</x:v>
      </x:c>
      <x:c r="E84" t="n">
        <x:v>73</x:v>
      </x:c>
      <x:c r="F84" t="n">
        <x:v>24</x:v>
      </x:c>
      <x:c r="G84" s="2" t="n">
        <x:v>463000</x:v>
      </x:c>
      <x:c r="H84" s="2" t="n">
        <x:v>436000</x:v>
      </x:c>
      <x:c r="I84" s="3" t="n">
        <x:v>0.3287671232876712</x:v>
      </x:c>
      <x:c r="J84" t="n">
        <x:v>52</x:v>
      </x:c>
    </x:row>
    <x:row r="85">
      <x:c r="A85" s="1" t="n">
        <x:v>45778</x:v>
      </x:c>
      <x:c r="B85" t="str">
        <x:v>2025-05</x:v>
      </x:c>
      <x:c r="C85" t="str">
        <x:v>Can Arslan</x:v>
      </x:c>
      <x:c r="D85" t="n">
        <x:v>294</x:v>
      </x:c>
      <x:c r="E85" t="n">
        <x:v>76</x:v>
      </x:c>
      <x:c r="F85" t="n">
        <x:v>27</x:v>
      </x:c>
      <x:c r="G85" s="2" t="n">
        <x:v>544000</x:v>
      </x:c>
      <x:c r="H85" s="2" t="n">
        <x:v>414000</x:v>
      </x:c>
      <x:c r="I85" s="3" t="n">
        <x:v>0.35526315789473684</x:v>
      </x:c>
      <x:c r="J85" t="n">
        <x:v>50</x:v>
      </x:c>
    </x:row>
    <x:row r="86">
      <x:c r="A86" s="1" t="n">
        <x:v>45778</x:v>
      </x:c>
      <x:c r="B86" t="str">
        <x:v>2025-05</x:v>
      </x:c>
      <x:c r="C86" t="str">
        <x:v>Deniz Koç</x:v>
      </x:c>
      <x:c r="D86" t="n">
        <x:v>253</x:v>
      </x:c>
      <x:c r="E86" t="n">
        <x:v>68</x:v>
      </x:c>
      <x:c r="F86" t="n">
        <x:v>24</x:v>
      </x:c>
      <x:c r="G86" s="2" t="n">
        <x:v>504000</x:v>
      </x:c>
      <x:c r="H86" s="2" t="n">
        <x:v>370000</x:v>
      </x:c>
      <x:c r="I86" s="3" t="n">
        <x:v>0.35294117647058826</x:v>
      </x:c>
      <x:c r="J86" t="n">
        <x:v>48</x:v>
      </x:c>
    </x:row>
    <x:row r="87">
      <x:c r="A87" s="1" t="n">
        <x:v>45809</x:v>
      </x:c>
      <x:c r="B87" t="str">
        <x:v>2025-06</x:v>
      </x:c>
      <x:c r="C87" t="str">
        <x:v>Ayşe Demir</x:v>
      </x:c>
      <x:c r="D87" t="n">
        <x:v>284</x:v>
      </x:c>
      <x:c r="E87" t="n">
        <x:v>67</x:v>
      </x:c>
      <x:c r="F87" t="n">
        <x:v>18</x:v>
      </x:c>
      <x:c r="G87" s="2" t="n">
        <x:v>313000</x:v>
      </x:c>
      <x:c r="H87" s="2" t="n">
        <x:v>473000</x:v>
      </x:c>
      <x:c r="I87" s="3" t="n">
        <x:v>0.26865671641791045</x:v>
      </x:c>
      <x:c r="J87" t="n">
        <x:v>56</x:v>
      </x:c>
    </x:row>
    <x:row r="88">
      <x:c r="A88" s="1" t="n">
        <x:v>45809</x:v>
      </x:c>
      <x:c r="B88" t="str">
        <x:v>2025-06</x:v>
      </x:c>
      <x:c r="C88" t="str">
        <x:v>Emre Kaya</x:v>
      </x:c>
      <x:c r="D88" t="n">
        <x:v>270</x:v>
      </x:c>
      <x:c r="E88" t="n">
        <x:v>66</x:v>
      </x:c>
      <x:c r="F88" t="n">
        <x:v>20</x:v>
      </x:c>
      <x:c r="G88" s="2" t="n">
        <x:v>365000</x:v>
      </x:c>
      <x:c r="H88" s="2" t="n">
        <x:v>432000</x:v>
      </x:c>
      <x:c r="I88" s="3" t="n">
        <x:v>0.30303030303030304</x:v>
      </x:c>
      <x:c r="J88" t="n">
        <x:v>54</x:v>
      </x:c>
    </x:row>
    <x:row r="89">
      <x:c r="A89" s="1" t="n">
        <x:v>45809</x:v>
      </x:c>
      <x:c r="B89" t="str">
        <x:v>2025-06</x:v>
      </x:c>
      <x:c r="C89" t="str">
        <x:v>Selin Yılmaz</x:v>
      </x:c>
      <x:c r="D89" t="n">
        <x:v>280</x:v>
      </x:c>
      <x:c r="E89" t="n">
        <x:v>70</x:v>
      </x:c>
      <x:c r="F89" t="n">
        <x:v>23</x:v>
      </x:c>
      <x:c r="G89" s="2" t="n">
        <x:v>439000</x:v>
      </x:c>
      <x:c r="H89" s="2" t="n">
        <x:v>411000</x:v>
      </x:c>
      <x:c r="I89" s="3" t="n">
        <x:v>0.32857142857142857</x:v>
      </x:c>
      <x:c r="J89" t="n">
        <x:v>53</x:v>
      </x:c>
    </x:row>
    <x:row r="90">
      <x:c r="A90" s="1" t="n">
        <x:v>45809</x:v>
      </x:c>
      <x:c r="B90" t="str">
        <x:v>2025-06</x:v>
      </x:c>
      <x:c r="C90" t="str">
        <x:v>Can Arslan</x:v>
      </x:c>
      <x:c r="D90" t="n">
        <x:v>264</x:v>
      </x:c>
      <x:c r="E90" t="n">
        <x:v>68</x:v>
      </x:c>
      <x:c r="F90" t="n">
        <x:v>23</x:v>
      </x:c>
      <x:c r="G90" s="2" t="n">
        <x:v>459000</x:v>
      </x:c>
      <x:c r="H90" s="2" t="n">
        <x:v>390000</x:v>
      </x:c>
      <x:c r="I90" s="3" t="n">
        <x:v>0.3382352941176471</x:v>
      </x:c>
      <x:c r="J90" t="n">
        <x:v>51</x:v>
      </x:c>
    </x:row>
    <x:row r="91">
      <x:c r="A91" s="1" t="n">
        <x:v>45809</x:v>
      </x:c>
      <x:c r="B91" t="str">
        <x:v>2025-06</x:v>
      </x:c>
      <x:c r="C91" t="str">
        <x:v>Deniz Koç</x:v>
      </x:c>
      <x:c r="D91" t="n">
        <x:v>216</x:v>
      </x:c>
      <x:c r="E91" t="n">
        <x:v>58</x:v>
      </x:c>
      <x:c r="F91" t="n">
        <x:v>20</x:v>
      </x:c>
      <x:c r="G91" s="2" t="n">
        <x:v>416000</x:v>
      </x:c>
      <x:c r="H91" s="2" t="n">
        <x:v>349000</x:v>
      </x:c>
      <x:c r="I91" s="3" t="n">
        <x:v>0.3448275862068966</x:v>
      </x:c>
      <x:c r="J91" t="n">
        <x:v>49</x:v>
      </x:c>
    </x:row>
    <x:row r="92">
      <x:c r="A92" s="1" t="n">
        <x:v>45839</x:v>
      </x:c>
      <x:c r="B92" t="str">
        <x:v>2025-07</x:v>
      </x:c>
      <x:c r="C92" t="str">
        <x:v>Ayşe Demir</x:v>
      </x:c>
      <x:c r="D92" t="n">
        <x:v>270</x:v>
      </x:c>
      <x:c r="E92" t="n">
        <x:v>63</x:v>
      </x:c>
      <x:c r="F92" t="n">
        <x:v>17</x:v>
      </x:c>
      <x:c r="G92" s="2" t="n">
        <x:v>292000</x:v>
      </x:c>
      <x:c r="H92" s="2" t="n">
        <x:v>440000</x:v>
      </x:c>
      <x:c r="I92" s="3" t="n">
        <x:v>0.2698412698412698</x:v>
      </x:c>
      <x:c r="J92" t="n">
        <x:v>56</x:v>
      </x:c>
    </x:row>
    <x:row r="93">
      <x:c r="A93" s="1" t="n">
        <x:v>45839</x:v>
      </x:c>
      <x:c r="B93" t="str">
        <x:v>2025-07</x:v>
      </x:c>
      <x:c r="C93" t="str">
        <x:v>Emre Kaya</x:v>
      </x:c>
      <x:c r="D93" t="n">
        <x:v>270</x:v>
      </x:c>
      <x:c r="E93" t="n">
        <x:v>66</x:v>
      </x:c>
      <x:c r="F93" t="n">
        <x:v>20</x:v>
      </x:c>
      <x:c r="G93" s="2" t="n">
        <x:v>361000</x:v>
      </x:c>
      <x:c r="H93" s="2" t="n">
        <x:v>402000</x:v>
      </x:c>
      <x:c r="I93" s="3" t="n">
        <x:v>0.30303030303030304</x:v>
      </x:c>
      <x:c r="J93" t="n">
        <x:v>54</x:v>
      </x:c>
    </x:row>
    <x:row r="94">
      <x:c r="A94" s="1" t="n">
        <x:v>45839</x:v>
      </x:c>
      <x:c r="B94" t="str">
        <x:v>2025-07</x:v>
      </x:c>
      <x:c r="C94" t="str">
        <x:v>Selin Yılmaz</x:v>
      </x:c>
      <x:c r="D94" t="n">
        <x:v>264</x:v>
      </x:c>
      <x:c r="E94" t="n">
        <x:v>66</x:v>
      </x:c>
      <x:c r="F94" t="n">
        <x:v>22</x:v>
      </x:c>
      <x:c r="G94" s="2" t="n">
        <x:v>416000</x:v>
      </x:c>
      <x:c r="H94" s="2" t="n">
        <x:v>383000</x:v>
      </x:c>
      <x:c r="I94" s="3" t="n">
        <x:v>0.3333333333333333</x:v>
      </x:c>
      <x:c r="J94" t="n">
        <x:v>53</x:v>
      </x:c>
    </x:row>
    <x:row r="95">
      <x:c r="A95" s="1" t="n">
        <x:v>45839</x:v>
      </x:c>
      <x:c r="B95" t="str">
        <x:v>2025-07</x:v>
      </x:c>
      <x:c r="C95" t="str">
        <x:v>Can Arslan</x:v>
      </x:c>
      <x:c r="D95" t="n">
        <x:v>232</x:v>
      </x:c>
      <x:c r="E95" t="n">
        <x:v>60</x:v>
      </x:c>
      <x:c r="F95" t="n">
        <x:v>20</x:v>
      </x:c>
      <x:c r="G95" s="2" t="n">
        <x:v>395000</x:v>
      </x:c>
      <x:c r="H95" s="2" t="n">
        <x:v>364000</x:v>
      </x:c>
      <x:c r="I95" s="3" t="n">
        <x:v>0.3333333333333333</x:v>
      </x:c>
      <x:c r="J95" t="n">
        <x:v>51</x:v>
      </x:c>
    </x:row>
    <x:row r="96">
      <x:c r="A96" s="1" t="n">
        <x:v>45839</x:v>
      </x:c>
      <x:c r="B96" t="str">
        <x:v>2025-07</x:v>
      </x:c>
      <x:c r="C96" t="str">
        <x:v>Deniz Koç</x:v>
      </x:c>
      <x:c r="D96" t="n">
        <x:v>196</x:v>
      </x:c>
      <x:c r="E96" t="n">
        <x:v>52</x:v>
      </x:c>
      <x:c r="F96" t="n">
        <x:v>18</x:v>
      </x:c>
      <x:c r="G96" s="2" t="n">
        <x:v>370000</x:v>
      </x:c>
      <x:c r="H96" s="2" t="n">
        <x:v>325000</x:v>
      </x:c>
      <x:c r="I96" s="3" t="n">
        <x:v>0.34615384615384615</x:v>
      </x:c>
      <x:c r="J96" t="n">
        <x:v>49</x:v>
      </x:c>
    </x:row>
    <x:row r="97">
      <x:c r="A97" s="1" t="n">
        <x:v>45870</x:v>
      </x:c>
      <x:c r="B97" t="str">
        <x:v>2025-08</x:v>
      </x:c>
      <x:c r="C97" t="str">
        <x:v>Ayşe Demir</x:v>
      </x:c>
      <x:c r="D97" t="n">
        <x:v>308</x:v>
      </x:c>
      <x:c r="E97" t="n">
        <x:v>72</x:v>
      </x:c>
      <x:c r="F97" t="n">
        <x:v>20</x:v>
      </x:c>
      <x:c r="G97" s="2" t="n">
        <x:v>344000</x:v>
      </x:c>
      <x:c r="H97" s="2" t="n">
        <x:v>449000</x:v>
      </x:c>
      <x:c r="I97" s="3" t="n">
        <x:v>0.2777777777777778</x:v>
      </x:c>
      <x:c r="J97" t="n">
        <x:v>56</x:v>
      </x:c>
    </x:row>
    <x:row r="98">
      <x:c r="A98" s="1" t="n">
        <x:v>45870</x:v>
      </x:c>
      <x:c r="B98" t="str">
        <x:v>2025-08</x:v>
      </x:c>
      <x:c r="C98" t="str">
        <x:v>Emre Kaya</x:v>
      </x:c>
      <x:c r="D98" t="n">
        <x:v>298</x:v>
      </x:c>
      <x:c r="E98" t="n">
        <x:v>72</x:v>
      </x:c>
      <x:c r="F98" t="n">
        <x:v>23</x:v>
      </x:c>
      <x:c r="G98" s="2" t="n">
        <x:v>415000</x:v>
      </x:c>
      <x:c r="H98" s="2" t="n">
        <x:v>410000</x:v>
      </x:c>
      <x:c r="I98" s="3" t="n">
        <x:v>0.3194444444444444</x:v>
      </x:c>
      <x:c r="J98" t="n">
        <x:v>54</x:v>
      </x:c>
    </x:row>
    <x:row r="99">
      <x:c r="A99" s="1" t="n">
        <x:v>45870</x:v>
      </x:c>
      <x:c r="B99" t="str">
        <x:v>2025-08</x:v>
      </x:c>
      <x:c r="C99" t="str">
        <x:v>Selin Yılmaz</x:v>
      </x:c>
      <x:c r="D99" t="n">
        <x:v>269</x:v>
      </x:c>
      <x:c r="E99" t="n">
        <x:v>68</x:v>
      </x:c>
      <x:c r="F99" t="n">
        <x:v>23</x:v>
      </x:c>
      <x:c r="G99" s="2" t="n">
        <x:v>434000</x:v>
      </x:c>
      <x:c r="H99" s="2" t="n">
        <x:v>391000</x:v>
      </x:c>
      <x:c r="I99" s="3" t="n">
        <x:v>0.3382352941176471</x:v>
      </x:c>
      <x:c r="J99" t="n">
        <x:v>53</x:v>
      </x:c>
    </x:row>
    <x:row r="100">
      <x:c r="A100" s="1" t="n">
        <x:v>45870</x:v>
      </x:c>
      <x:c r="B100" t="str">
        <x:v>2025-08</x:v>
      </x:c>
      <x:c r="C100" t="str">
        <x:v>Can Arslan</x:v>
      </x:c>
      <x:c r="D100" t="n">
        <x:v>235</x:v>
      </x:c>
      <x:c r="E100" t="n">
        <x:v>61</x:v>
      </x:c>
      <x:c r="F100" t="n">
        <x:v>20</x:v>
      </x:c>
      <x:c r="G100" s="2" t="n">
        <x:v>395000</x:v>
      </x:c>
      <x:c r="H100" s="2" t="n">
        <x:v>371000</x:v>
      </x:c>
      <x:c r="I100" s="3" t="n">
        <x:v>0.32786885245901637</x:v>
      </x:c>
      <x:c r="J100" t="n">
        <x:v>51</x:v>
      </x:c>
    </x:row>
    <x:row r="101">
      <x:c r="A101" s="1" t="n">
        <x:v>45870</x:v>
      </x:c>
      <x:c r="B101" t="str">
        <x:v>2025-08</x:v>
      </x:c>
      <x:c r="C101" t="str">
        <x:v>Deniz Koç</x:v>
      </x:c>
      <x:c r="D101" t="n">
        <x:v>217</x:v>
      </x:c>
      <x:c r="E101" t="n">
        <x:v>58</x:v>
      </x:c>
      <x:c r="F101" t="n">
        <x:v>19</x:v>
      </x:c>
      <x:c r="G101" s="2" t="n">
        <x:v>391000</x:v>
      </x:c>
      <x:c r="H101" s="2" t="n">
        <x:v>332000</x:v>
      </x:c>
      <x:c r="I101" s="3" t="n">
        <x:v>0.3275862068965517</x:v>
      </x:c>
      <x:c r="J101" t="n">
        <x:v>49</x:v>
      </x:c>
    </x:row>
    <x:row r="102">
      <x:c r="A102" s="1" t="n">
        <x:v>45901</x:v>
      </x:c>
      <x:c r="B102" t="str">
        <x:v>2025-09</x:v>
      </x:c>
      <x:c r="C102" t="str">
        <x:v>Ayşe Demir</x:v>
      </x:c>
      <x:c r="D102" t="n">
        <x:v>348</x:v>
      </x:c>
      <x:c r="E102" t="n">
        <x:v>82</x:v>
      </x:c>
      <x:c r="F102" t="n">
        <x:v>24</x:v>
      </x:c>
      <x:c r="G102" s="2" t="n">
        <x:v>415000</x:v>
      </x:c>
      <x:c r="H102" s="2" t="n">
        <x:v>489000</x:v>
      </x:c>
      <x:c r="I102" s="3" t="n">
        <x:v>0.2926829268292683</x:v>
      </x:c>
      <x:c r="J102" t="n">
        <x:v>55</x:v>
      </x:c>
    </x:row>
    <x:row r="103">
      <x:c r="A103" s="1" t="n">
        <x:v>45901</x:v>
      </x:c>
      <x:c r="B103" t="str">
        <x:v>2025-09</x:v>
      </x:c>
      <x:c r="C103" t="str">
        <x:v>Emre Kaya</x:v>
      </x:c>
      <x:c r="D103" t="n">
        <x:v>310</x:v>
      </x:c>
      <x:c r="E103" t="n">
        <x:v>75</x:v>
      </x:c>
      <x:c r="F103" t="n">
        <x:v>24</x:v>
      </x:c>
      <x:c r="G103" s="2" t="n">
        <x:v>435000</x:v>
      </x:c>
      <x:c r="H103" s="2" t="n">
        <x:v>446000</x:v>
      </x:c>
      <x:c r="I103" s="3" t="n">
        <x:v>0.32</x:v>
      </x:c>
      <x:c r="J103" t="n">
        <x:v>53</x:v>
      </x:c>
    </x:row>
    <x:row r="104">
      <x:c r="A104" s="1" t="n">
        <x:v>45901</x:v>
      </x:c>
      <x:c r="B104" t="str">
        <x:v>2025-09</x:v>
      </x:c>
      <x:c r="C104" t="str">
        <x:v>Selin Yılmaz</x:v>
      </x:c>
      <x:c r="D104" t="n">
        <x:v>270</x:v>
      </x:c>
      <x:c r="E104" t="n">
        <x:v>68</x:v>
      </x:c>
      <x:c r="F104" t="n">
        <x:v>22</x:v>
      </x:c>
      <x:c r="G104" s="2" t="n">
        <x:v>418000</x:v>
      </x:c>
      <x:c r="H104" s="2" t="n">
        <x:v>425000</x:v>
      </x:c>
      <x:c r="I104" s="3" t="n">
        <x:v>0.3235294117647059</x:v>
      </x:c>
      <x:c r="J104" t="n">
        <x:v>52</x:v>
      </x:c>
    </x:row>
    <x:row r="105">
      <x:c r="A105" s="1" t="n">
        <x:v>45901</x:v>
      </x:c>
      <x:c r="B105" t="str">
        <x:v>2025-09</x:v>
      </x:c>
      <x:c r="C105" t="str">
        <x:v>Can Arslan</x:v>
      </x:c>
      <x:c r="D105" t="n">
        <x:v>255</x:v>
      </x:c>
      <x:c r="E105" t="n">
        <x:v>66</x:v>
      </x:c>
      <x:c r="F105" t="n">
        <x:v>22</x:v>
      </x:c>
      <x:c r="G105" s="2" t="n">
        <x:v>436000</x:v>
      </x:c>
      <x:c r="H105" s="2" t="n">
        <x:v>404000</x:v>
      </x:c>
      <x:c r="I105" s="3" t="n">
        <x:v>0.3333333333333333</x:v>
      </x:c>
      <x:c r="J105" t="n">
        <x:v>50</x:v>
      </x:c>
    </x:row>
    <x:row r="106">
      <x:c r="A106" s="1" t="n">
        <x:v>45901</x:v>
      </x:c>
      <x:c r="B106" t="str">
        <x:v>2025-09</x:v>
      </x:c>
      <x:c r="C106" t="str">
        <x:v>Deniz Koç</x:v>
      </x:c>
      <x:c r="D106" t="n">
        <x:v>249</x:v>
      </x:c>
      <x:c r="E106" t="n">
        <x:v>66</x:v>
      </x:c>
      <x:c r="F106" t="n">
        <x:v>22</x:v>
      </x:c>
      <x:c r="G106" s="2" t="n">
        <x:v>455000</x:v>
      </x:c>
      <x:c r="H106" s="2" t="n">
        <x:v>361000</x:v>
      </x:c>
      <x:c r="I106" s="3" t="n">
        <x:v>0.3333333333333333</x:v>
      </x:c>
      <x:c r="J106" t="n">
        <x:v>48</x:v>
      </x:c>
    </x:row>
    <x:row r="107">
      <x:c r="A107" s="1" t="n">
        <x:v>45931</x:v>
      </x:c>
      <x:c r="B107" t="str">
        <x:v>2025-10</x:v>
      </x:c>
      <x:c r="C107" t="str">
        <x:v>Ayşe Demir</x:v>
      </x:c>
      <x:c r="D107" t="n">
        <x:v>349</x:v>
      </x:c>
      <x:c r="E107" t="n">
        <x:v>82</x:v>
      </x:c>
      <x:c r="F107" t="n">
        <x:v>24</x:v>
      </x:c>
      <x:c r="G107" s="2" t="n">
        <x:v>417000</x:v>
      </x:c>
      <x:c r="H107" s="2" t="n">
        <x:v>515000</x:v>
      </x:c>
      <x:c r="I107" s="3" t="n">
        <x:v>0.2926829268292683</x:v>
      </x:c>
      <x:c r="J107" t="n">
        <x:v>54</x:v>
      </x:c>
    </x:row>
    <x:row r="108">
      <x:c r="A108" s="1" t="n">
        <x:v>45931</x:v>
      </x:c>
      <x:c r="B108" t="str">
        <x:v>2025-10</x:v>
      </x:c>
      <x:c r="C108" t="str">
        <x:v>Emre Kaya</x:v>
      </x:c>
      <x:c r="D108" t="n">
        <x:v>292</x:v>
      </x:c>
      <x:c r="E108" t="n">
        <x:v>71</x:v>
      </x:c>
      <x:c r="F108" t="n">
        <x:v>22</x:v>
      </x:c>
      <x:c r="G108" s="2" t="n">
        <x:v>401000</x:v>
      </x:c>
      <x:c r="H108" s="2" t="n">
        <x:v>470000</x:v>
      </x:c>
      <x:c r="I108" s="3" t="n">
        <x:v>0.30985915492957744</x:v>
      </x:c>
      <x:c r="J108" t="n">
        <x:v>52</x:v>
      </x:c>
    </x:row>
    <x:row r="109">
      <x:c r="A109" s="1" t="n">
        <x:v>45931</x:v>
      </x:c>
      <x:c r="B109" t="str">
        <x:v>2025-10</x:v>
      </x:c>
      <x:c r="C109" t="str">
        <x:v>Selin Yılmaz</x:v>
      </x:c>
      <x:c r="D109" t="n">
        <x:v>267</x:v>
      </x:c>
      <x:c r="E109" t="n">
        <x:v>67</x:v>
      </x:c>
      <x:c r="F109" t="n">
        <x:v>22</x:v>
      </x:c>
      <x:c r="G109" s="2" t="n">
        <x:v>420000</x:v>
      </x:c>
      <x:c r="H109" s="2" t="n">
        <x:v>447000</x:v>
      </x:c>
      <x:c r="I109" s="3" t="n">
        <x:v>0.3283582089552239</x:v>
      </x:c>
      <x:c r="J109" t="n">
        <x:v>51</x:v>
      </x:c>
    </x:row>
    <x:row r="110">
      <x:c r="A110" s="1" t="n">
        <x:v>45931</x:v>
      </x:c>
      <x:c r="B110" t="str">
        <x:v>2025-10</x:v>
      </x:c>
      <x:c r="C110" t="str">
        <x:v>Can Arslan</x:v>
      </x:c>
      <x:c r="D110" t="n">
        <x:v>273</x:v>
      </x:c>
      <x:c r="E110" t="n">
        <x:v>71</x:v>
      </x:c>
      <x:c r="F110" t="n">
        <x:v>23</x:v>
      </x:c>
      <x:c r="G110" s="2" t="n">
        <x:v>459000</x:v>
      </x:c>
      <x:c r="H110" s="2" t="n">
        <x:v>425000</x:v>
      </x:c>
      <x:c r="I110" s="3" t="n">
        <x:v>0.323943661971831</x:v>
      </x:c>
      <x:c r="J110" t="n">
        <x:v>49</x:v>
      </x:c>
    </x:row>
    <x:row r="111">
      <x:c r="A111" s="1" t="n">
        <x:v>45931</x:v>
      </x:c>
      <x:c r="B111" t="str">
        <x:v>2025-10</x:v>
      </x:c>
      <x:c r="C111" t="str">
        <x:v>Deniz Koç</x:v>
      </x:c>
      <x:c r="D111" t="n">
        <x:v>260</x:v>
      </x:c>
      <x:c r="E111" t="n">
        <x:v>69</x:v>
      </x:c>
      <x:c r="F111" t="n">
        <x:v>23</x:v>
      </x:c>
      <x:c r="G111" s="2" t="n">
        <x:v>478000</x:v>
      </x:c>
      <x:c r="H111" s="2" t="n">
        <x:v>380000</x:v>
      </x:c>
      <x:c r="I111" s="3" t="n">
        <x:v>0.3333333333333333</x:v>
      </x:c>
      <x:c r="J111" t="n">
        <x:v>47</x:v>
      </x:c>
    </x:row>
    <x:row r="112">
      <x:c r="A112" s="1" t="n">
        <x:v>45962</x:v>
      </x:c>
      <x:c r="B112" t="str">
        <x:v>2025-11</x:v>
      </x:c>
      <x:c r="C112" t="str">
        <x:v>Ayşe Demir</x:v>
      </x:c>
      <x:c r="D112" t="n">
        <x:v>347</x:v>
      </x:c>
      <x:c r="E112" t="n">
        <x:v>82</x:v>
      </x:c>
      <x:c r="F112" t="n">
        <x:v>24</x:v>
      </x:c>
      <x:c r="G112" s="2" t="n">
        <x:v>424000</x:v>
      </x:c>
      <x:c r="H112" s="2" t="n">
        <x:v>541000</x:v>
      </x:c>
      <x:c r="I112" s="3" t="n">
        <x:v>0.2926829268292683</x:v>
      </x:c>
      <x:c r="J112" t="n">
        <x:v>53</x:v>
      </x:c>
    </x:row>
    <x:row r="113">
      <x:c r="A113" s="1" t="n">
        <x:v>45962</x:v>
      </x:c>
      <x:c r="B113" t="str">
        <x:v>2025-11</x:v>
      </x:c>
      <x:c r="C113" t="str">
        <x:v>Emre Kaya</x:v>
      </x:c>
      <x:c r="D113" t="n">
        <x:v>295</x:v>
      </x:c>
      <x:c r="E113" t="n">
        <x:v>72</x:v>
      </x:c>
      <x:c r="F113" t="n">
        <x:v>23</x:v>
      </x:c>
      <x:c r="G113" s="2" t="n">
        <x:v>426000</x:v>
      </x:c>
      <x:c r="H113" s="2" t="n">
        <x:v>494000</x:v>
      </x:c>
      <x:c r="I113" s="3" t="n">
        <x:v>0.3194444444444444</x:v>
      </x:c>
      <x:c r="J113" t="n">
        <x:v>51</x:v>
      </x:c>
    </x:row>
    <x:row r="114">
      <x:c r="A114" s="1" t="n">
        <x:v>45962</x:v>
      </x:c>
      <x:c r="B114" t="str">
        <x:v>2025-11</x:v>
      </x:c>
      <x:c r="C114" t="str">
        <x:v>Selin Yılmaz</x:v>
      </x:c>
      <x:c r="D114" t="n">
        <x:v>295</x:v>
      </x:c>
      <x:c r="E114" t="n">
        <x:v>74</x:v>
      </x:c>
      <x:c r="F114" t="n">
        <x:v>23</x:v>
      </x:c>
      <x:c r="G114" s="2" t="n">
        <x:v>446000</x:v>
      </x:c>
      <x:c r="H114" s="2" t="n">
        <x:v>471000</x:v>
      </x:c>
      <x:c r="I114" s="3" t="n">
        <x:v>0.3108108108108108</x:v>
      </x:c>
      <x:c r="J114" t="n">
        <x:v>49</x:v>
      </x:c>
    </x:row>
    <x:row r="115">
      <x:c r="A115" s="1" t="n">
        <x:v>45962</x:v>
      </x:c>
      <x:c r="B115" t="str">
        <x:v>2025-11</x:v>
      </x:c>
      <x:c r="C115" t="str">
        <x:v>Can Arslan</x:v>
      </x:c>
      <x:c r="D115" t="n">
        <x:v>304</x:v>
      </x:c>
      <x:c r="E115" t="n">
        <x:v>79</x:v>
      </x:c>
      <x:c r="F115" t="n">
        <x:v>25</x:v>
      </x:c>
      <x:c r="G115" s="2" t="n">
        <x:v>506000</x:v>
      </x:c>
      <x:c r="H115" s="2" t="n">
        <x:v>447000</x:v>
      </x:c>
      <x:c r="I115" s="3" t="n">
        <x:v>0.31645569620253167</x:v>
      </x:c>
      <x:c r="J115" t="n">
        <x:v>48</x:v>
      </x:c>
    </x:row>
    <x:row r="116">
      <x:c r="A116" s="1" t="n">
        <x:v>45962</x:v>
      </x:c>
      <x:c r="B116" t="str">
        <x:v>2025-11</x:v>
      </x:c>
      <x:c r="C116" t="str">
        <x:v>Deniz Koç</x:v>
      </x:c>
      <x:c r="D116" t="n">
        <x:v>268</x:v>
      </x:c>
      <x:c r="E116" t="n">
        <x:v>72</x:v>
      </x:c>
      <x:c r="F116" t="n">
        <x:v>24</x:v>
      </x:c>
      <x:c r="G116" s="2" t="n">
        <x:v>507000</x:v>
      </x:c>
      <x:c r="H116" s="2" t="n">
        <x:v>400000</x:v>
      </x:c>
      <x:c r="I116" s="3" t="n">
        <x:v>0.3333333333333333</x:v>
      </x:c>
      <x:c r="J116" t="n">
        <x:v>46</x:v>
      </x:c>
    </x:row>
    <x:row r="117">
      <x:c r="A117" s="1" t="n">
        <x:v>45992</x:v>
      </x:c>
      <x:c r="B117" t="str">
        <x:v>2025-12</x:v>
      </x:c>
      <x:c r="C117" t="str">
        <x:v>Ayşe Demir</x:v>
      </x:c>
      <x:c r="D117" t="n">
        <x:v>351</x:v>
      </x:c>
      <x:c r="E117" t="n">
        <x:v>82</x:v>
      </x:c>
      <x:c r="F117" t="n">
        <x:v>25</x:v>
      </x:c>
      <x:c r="G117" s="2" t="n">
        <x:v>446000</x:v>
      </x:c>
      <x:c r="H117" s="2" t="n">
        <x:v>571000</x:v>
      </x:c>
      <x:c r="I117" s="3" t="n">
        <x:v>0.3048780487804878</x:v>
      </x:c>
      <x:c r="J117" t="n">
        <x:v>51</x:v>
      </x:c>
    </x:row>
    <x:row r="118">
      <x:c r="A118" s="1" t="n">
        <x:v>45992</x:v>
      </x:c>
      <x:c r="B118" t="str">
        <x:v>2025-12</x:v>
      </x:c>
      <x:c r="C118" t="str">
        <x:v>Emre Kaya</x:v>
      </x:c>
      <x:c r="D118" t="n">
        <x:v>325</x:v>
      </x:c>
      <x:c r="E118" t="n">
        <x:v>79</x:v>
      </x:c>
      <x:c r="F118" t="n">
        <x:v>25</x:v>
      </x:c>
      <x:c r="G118" s="2" t="n">
        <x:v>468000</x:v>
      </x:c>
      <x:c r="H118" s="2" t="n">
        <x:v>521000</x:v>
      </x:c>
      <x:c r="I118" s="3" t="n">
        <x:v>0.31645569620253167</x:v>
      </x:c>
      <x:c r="J118" t="n">
        <x:v>49</x:v>
      </x:c>
    </x:row>
    <x:row r="119">
      <x:c r="A119" s="1" t="n">
        <x:v>45992</x:v>
      </x:c>
      <x:c r="B119" t="str">
        <x:v>2025-12</x:v>
      </x:c>
      <x:c r="C119" t="str">
        <x:v>Selin Yılmaz</x:v>
      </x:c>
      <x:c r="D119" t="n">
        <x:v>339</x:v>
      </x:c>
      <x:c r="E119" t="n">
        <x:v>85</x:v>
      </x:c>
      <x:c r="F119" t="n">
        <x:v>26</x:v>
      </x:c>
      <x:c r="G119" s="2" t="n">
        <x:v>509000</x:v>
      </x:c>
      <x:c r="H119" s="2" t="n">
        <x:v>496000</x:v>
      </x:c>
      <x:c r="I119" s="3" t="n">
        <x:v>0.3058823529411765</x:v>
      </x:c>
      <x:c r="J119" t="n">
        <x:v>47</x:v>
      </x:c>
    </x:row>
    <x:row r="120">
      <x:c r="A120" s="1" t="n">
        <x:v>45992</x:v>
      </x:c>
      <x:c r="B120" t="str">
        <x:v>2025-12</x:v>
      </x:c>
      <x:c r="C120" t="str">
        <x:v>Can Arslan</x:v>
      </x:c>
      <x:c r="D120" t="n">
        <x:v>327</x:v>
      </x:c>
      <x:c r="E120" t="n">
        <x:v>85</x:v>
      </x:c>
      <x:c r="F120" t="n">
        <x:v>27</x:v>
      </x:c>
      <x:c r="G120" s="2" t="n">
        <x:v>553000</x:v>
      </x:c>
      <x:c r="H120" s="2" t="n">
        <x:v>472000</x:v>
      </x:c>
      <x:c r="I120" s="3" t="n">
        <x:v>0.3176470588235294</x:v>
      </x:c>
      <x:c r="J120" t="n">
        <x:v>46</x:v>
      </x:c>
    </x:row>
    <x:row r="121">
      <x:c r="A121" s="1" t="n">
        <x:v>45992</x:v>
      </x:c>
      <x:c r="B121" t="str">
        <x:v>2025-12</x:v>
      </x:c>
      <x:c r="C121" t="str">
        <x:v>Deniz Koç</x:v>
      </x:c>
      <x:c r="D121" t="n">
        <x:v>270</x:v>
      </x:c>
      <x:c r="E121" t="n">
        <x:v>72</x:v>
      </x:c>
      <x:c r="F121" t="n">
        <x:v>24</x:v>
      </x:c>
      <x:c r="G121" s="2" t="n">
        <x:v>512000</x:v>
      </x:c>
      <x:c r="H121" s="2" t="n">
        <x:v>422000</x:v>
      </x:c>
      <x:c r="I121" s="3" t="n">
        <x:v>0.3333333333333333</x:v>
      </x:c>
      <x:c r="J121" t="n">
        <x:v>44</x:v>
      </x:c>
    </x:row>
    <x:row r="122">
      <x:c r="A122" s="1" t="n">
        <x:v>46023</x:v>
      </x:c>
      <x:c r="B122" t="str">
        <x:v>2026-01</x:v>
      </x:c>
      <x:c r="C122" t="str">
        <x:v>Ayşe Demir</x:v>
      </x:c>
      <x:c r="D122" t="n">
        <x:v>287</x:v>
      </x:c>
      <x:c r="E122" t="n">
        <x:v>67</x:v>
      </x:c>
      <x:c r="F122" t="n">
        <x:v>20</x:v>
      </x:c>
      <x:c r="G122" s="2" t="n">
        <x:v>385000</x:v>
      </x:c>
      <x:c r="H122" s="2" t="n">
        <x:v>516000</x:v>
      </x:c>
      <x:c r="I122" s="3" t="n">
        <x:v>0.29850746268656714</x:v>
      </x:c>
      <x:c r="J122" t="n">
        <x:v>46</x:v>
      </x:c>
    </x:row>
    <x:row r="123">
      <x:c r="A123" s="1" t="n">
        <x:v>46023</x:v>
      </x:c>
      <x:c r="B123" t="str">
        <x:v>2026-01</x:v>
      </x:c>
      <x:c r="C123" t="str">
        <x:v>Emre Kaya</x:v>
      </x:c>
      <x:c r="D123" t="n">
        <x:v>285</x:v>
      </x:c>
      <x:c r="E123" t="n">
        <x:v>69</x:v>
      </x:c>
      <x:c r="F123" t="n">
        <x:v>21</x:v>
      </x:c>
      <x:c r="G123" s="2" t="n">
        <x:v>424000</x:v>
      </x:c>
      <x:c r="H123" s="2" t="n">
        <x:v>471000</x:v>
      </x:c>
      <x:c r="I123" s="3" t="n">
        <x:v>0.30434782608695654</x:v>
      </x:c>
      <x:c r="J123" t="n">
        <x:v>45</x:v>
      </x:c>
    </x:row>
    <x:row r="124">
      <x:c r="A124" s="1" t="n">
        <x:v>46023</x:v>
      </x:c>
      <x:c r="B124" t="str">
        <x:v>2026-01</x:v>
      </x:c>
      <x:c r="C124" t="str">
        <x:v>Selin Yılmaz</x:v>
      </x:c>
      <x:c r="D124" t="n">
        <x:v>285</x:v>
      </x:c>
      <x:c r="E124" t="n">
        <x:v>72</x:v>
      </x:c>
      <x:c r="F124" t="n">
        <x:v>22</x:v>
      </x:c>
      <x:c r="G124" s="2" t="n">
        <x:v>464000</x:v>
      </x:c>
      <x:c r="H124" s="2" t="n">
        <x:v>449000</x:v>
      </x:c>
      <x:c r="I124" s="3" t="n">
        <x:v>0.3055555555555556</x:v>
      </x:c>
      <x:c r="J124" t="n">
        <x:v>43</x:v>
      </x:c>
    </x:row>
    <x:row r="125">
      <x:c r="A125" s="1" t="n">
        <x:v>46023</x:v>
      </x:c>
      <x:c r="B125" t="str">
        <x:v>2026-01</x:v>
      </x:c>
      <x:c r="C125" t="str">
        <x:v>Can Arslan</x:v>
      </x:c>
      <x:c r="D125" t="n">
        <x:v>255</x:v>
      </x:c>
      <x:c r="E125" t="n">
        <x:v>66</x:v>
      </x:c>
      <x:c r="F125" t="n">
        <x:v>21</x:v>
      </x:c>
      <x:c r="G125" s="2" t="n">
        <x:v>463000</x:v>
      </x:c>
      <x:c r="H125" s="2" t="n">
        <x:v>427000</x:v>
      </x:c>
      <x:c r="I125" s="3" t="n">
        <x:v>0.3181818181818182</x:v>
      </x:c>
      <x:c r="J125" t="n">
        <x:v>42</x:v>
      </x:c>
    </x:row>
    <x:row r="126">
      <x:c r="A126" s="1" t="n">
        <x:v>46023</x:v>
      </x:c>
      <x:c r="B126" t="str">
        <x:v>2026-01</x:v>
      </x:c>
      <x:c r="C126" t="str">
        <x:v>Deniz Koç</x:v>
      </x:c>
      <x:c r="D126" t="n">
        <x:v>211</x:v>
      </x:c>
      <x:c r="E126" t="n">
        <x:v>56</x:v>
      </x:c>
      <x:c r="F126" t="n">
        <x:v>19</x:v>
      </x:c>
      <x:c r="G126" s="2" t="n">
        <x:v>437000</x:v>
      </x:c>
      <x:c r="H126" s="2" t="n">
        <x:v>382000</x:v>
      </x:c>
      <x:c r="I126" s="3" t="n">
        <x:v>0.3392857142857143</x:v>
      </x:c>
      <x:c r="J126" t="n">
        <x:v>40</x:v>
      </x:c>
    </x:row>
    <x:row r="127">
      <x:c r="A127" s="1" t="n">
        <x:v>46054</x:v>
      </x:c>
      <x:c r="B127" t="str">
        <x:v>2026-02</x:v>
      </x:c>
      <x:c r="C127" t="str">
        <x:v>Ayşe Demir</x:v>
      </x:c>
      <x:c r="D127" t="n">
        <x:v>305</x:v>
      </x:c>
      <x:c r="E127" t="n">
        <x:v>72</x:v>
      </x:c>
      <x:c r="F127" t="n">
        <x:v>21</x:v>
      </x:c>
      <x:c r="G127" s="2" t="n">
        <x:v>404000</x:v>
      </x:c>
      <x:c r="H127" s="2" t="n">
        <x:v>533000</x:v>
      </x:c>
      <x:c r="I127" s="3" t="n">
        <x:v>0.2916666666666667</x:v>
      </x:c>
      <x:c r="J127" t="n">
        <x:v>46</x:v>
      </x:c>
    </x:row>
    <x:row r="128">
      <x:c r="A128" s="1" t="n">
        <x:v>46054</x:v>
      </x:c>
      <x:c r="B128" t="str">
        <x:v>2026-02</x:v>
      </x:c>
      <x:c r="C128" t="str">
        <x:v>Emre Kaya</x:v>
      </x:c>
      <x:c r="D128" t="n">
        <x:v>300</x:v>
      </x:c>
      <x:c r="E128" t="n">
        <x:v>73</x:v>
      </x:c>
      <x:c r="F128" t="n">
        <x:v>22</x:v>
      </x:c>
      <x:c r="G128" s="2" t="n">
        <x:v>444000</x:v>
      </x:c>
      <x:c r="H128" s="2" t="n">
        <x:v>487000</x:v>
      </x:c>
      <x:c r="I128" s="3" t="n">
        <x:v>0.3013698630136986</x:v>
      </x:c>
      <x:c r="J128" t="n">
        <x:v>45</x:v>
      </x:c>
    </x:row>
    <x:row r="129">
      <x:c r="A129" s="1" t="n">
        <x:v>46054</x:v>
      </x:c>
      <x:c r="B129" t="str">
        <x:v>2026-02</x:v>
      </x:c>
      <x:c r="C129" t="str">
        <x:v>Selin Yılmaz</x:v>
      </x:c>
      <x:c r="D129" t="n">
        <x:v>276</x:v>
      </x:c>
      <x:c r="E129" t="n">
        <x:v>69</x:v>
      </x:c>
      <x:c r="F129" t="n">
        <x:v>21</x:v>
      </x:c>
      <x:c r="G129" s="2" t="n">
        <x:v>443000</x:v>
      </x:c>
      <x:c r="H129" s="2" t="n">
        <x:v>464000</x:v>
      </x:c>
      <x:c r="I129" s="3" t="n">
        <x:v>0.30434782608695654</x:v>
      </x:c>
      <x:c r="J129" t="n">
        <x:v>43</x:v>
      </x:c>
    </x:row>
    <x:row r="130">
      <x:c r="A130" s="1" t="n">
        <x:v>46054</x:v>
      </x:c>
      <x:c r="B130" t="str">
        <x:v>2026-02</x:v>
      </x:c>
      <x:c r="C130" t="str">
        <x:v>Can Arslan</x:v>
      </x:c>
      <x:c r="D130" t="n">
        <x:v>240</x:v>
      </x:c>
      <x:c r="E130" t="n">
        <x:v>62</x:v>
      </x:c>
      <x:c r="F130" t="n">
        <x:v>19</x:v>
      </x:c>
      <x:c r="G130" s="2" t="n">
        <x:v>419000</x:v>
      </x:c>
      <x:c r="H130" s="2" t="n">
        <x:v>441000</x:v>
      </x:c>
      <x:c r="I130" s="3" t="n">
        <x:v>0.3064516129032258</x:v>
      </x:c>
      <x:c r="J130" t="n">
        <x:v>42</x:v>
      </x:c>
    </x:row>
    <x:row r="131">
      <x:c r="A131" s="1" t="n">
        <x:v>46054</x:v>
      </x:c>
      <x:c r="B131" t="str">
        <x:v>2026-02</x:v>
      </x:c>
      <x:c r="C131" t="str">
        <x:v>Deniz Koç</x:v>
      </x:c>
      <x:c r="D131" t="n">
        <x:v>216</x:v>
      </x:c>
      <x:c r="E131" t="n">
        <x:v>58</x:v>
      </x:c>
      <x:c r="F131" t="n">
        <x:v>20</x:v>
      </x:c>
      <x:c r="G131" s="2" t="n">
        <x:v>460000</x:v>
      </x:c>
      <x:c r="H131" s="2" t="n">
        <x:v>394000</x:v>
      </x:c>
      <x:c r="I131" s="3" t="n">
        <x:v>0.3448275862068966</x:v>
      </x:c>
      <x:c r="J131" t="n">
        <x:v>40</x:v>
      </x:c>
    </x:row>
    <x:row r="132">
      <x:c r="A132" s="1" t="n">
        <x:v>46082</x:v>
      </x:c>
      <x:c r="B132" t="str">
        <x:v>2026-03</x:v>
      </x:c>
      <x:c r="C132" t="str">
        <x:v>Ayşe Demir</x:v>
      </x:c>
      <x:c r="D132" t="n">
        <x:v>356</x:v>
      </x:c>
      <x:c r="E132" t="n">
        <x:v>84</x:v>
      </x:c>
      <x:c r="F132" t="n">
        <x:v>25</x:v>
      </x:c>
      <x:c r="G132" s="2" t="n">
        <x:v>481000</x:v>
      </x:c>
      <x:c r="H132" s="2" t="n">
        <x:v>567000</x:v>
      </x:c>
      <x:c r="I132" s="3" t="n">
        <x:v>0.2976190476190476</x:v>
      </x:c>
      <x:c r="J132" t="n">
        <x:v>46</x:v>
      </x:c>
    </x:row>
    <x:row r="133">
      <x:c r="A133" s="1" t="n">
        <x:v>46082</x:v>
      </x:c>
      <x:c r="B133" t="str">
        <x:v>2026-03</x:v>
      </x:c>
      <x:c r="C133" t="str">
        <x:v>Emre Kaya</x:v>
      </x:c>
      <x:c r="D133" t="n">
        <x:v>325</x:v>
      </x:c>
      <x:c r="E133" t="n">
        <x:v>79</x:v>
      </x:c>
      <x:c r="F133" t="n">
        <x:v>23</x:v>
      </x:c>
      <x:c r="G133" s="2" t="n">
        <x:v>464000</x:v>
      </x:c>
      <x:c r="H133" s="2" t="n">
        <x:v>518000</x:v>
      </x:c>
      <x:c r="I133" s="3" t="n">
        <x:v>0.2911392405063291</x:v>
      </x:c>
      <x:c r="J133" t="n">
        <x:v>45</x:v>
      </x:c>
    </x:row>
    <x:row r="134">
      <x:c r="A134" s="1" t="n">
        <x:v>46082</x:v>
      </x:c>
      <x:c r="B134" t="str">
        <x:v>2026-03</x:v>
      </x:c>
      <x:c r="C134" t="str">
        <x:v>Selin Yılmaz</x:v>
      </x:c>
      <x:c r="D134" t="n">
        <x:v>284</x:v>
      </x:c>
      <x:c r="E134" t="n">
        <x:v>71</x:v>
      </x:c>
      <x:c r="F134" t="n">
        <x:v>21</x:v>
      </x:c>
      <x:c r="G134" s="2" t="n">
        <x:v>443000</x:v>
      </x:c>
      <x:c r="H134" s="2" t="n">
        <x:v>493000</x:v>
      </x:c>
      <x:c r="I134" s="3" t="n">
        <x:v>0.29577464788732394</x:v>
      </x:c>
      <x:c r="J134" t="n">
        <x:v>43</x:v>
      </x:c>
    </x:row>
    <x:row r="135">
      <x:c r="A135" s="1" t="n">
        <x:v>46082</x:v>
      </x:c>
      <x:c r="B135" t="str">
        <x:v>2026-03</x:v>
      </x:c>
      <x:c r="C135" t="str">
        <x:v>Can Arslan</x:v>
      </x:c>
      <x:c r="D135" t="n">
        <x:v>261</x:v>
      </x:c>
      <x:c r="E135" t="n">
        <x:v>68</x:v>
      </x:c>
      <x:c r="F135" t="n">
        <x:v>21</x:v>
      </x:c>
      <x:c r="G135" s="2" t="n">
        <x:v>463000</x:v>
      </x:c>
      <x:c r="H135" s="2" t="n">
        <x:v>469000</x:v>
      </x:c>
      <x:c r="I135" s="3" t="n">
        <x:v>0.3088235294117647</x:v>
      </x:c>
      <x:c r="J135" t="n">
        <x:v>42</x:v>
      </x:c>
    </x:row>
    <x:row r="136">
      <x:c r="A136" s="1" t="n">
        <x:v>46082</x:v>
      </x:c>
      <x:c r="B136" t="str">
        <x:v>2026-03</x:v>
      </x:c>
      <x:c r="C136" t="str">
        <x:v>Deniz Koç</x:v>
      </x:c>
      <x:c r="D136" t="n">
        <x:v>253</x:v>
      </x:c>
      <x:c r="E136" t="n">
        <x:v>68</x:v>
      </x:c>
      <x:c r="F136" t="n">
        <x:v>24</x:v>
      </x:c>
      <x:c r="G136" s="2" t="n">
        <x:v>552000</x:v>
      </x:c>
      <x:c r="H136" s="2" t="n">
        <x:v>419000</x:v>
      </x:c>
      <x:c r="I136" s="3" t="n">
        <x:v>0.35294117647058826</x:v>
      </x:c>
      <x:c r="J136" t="n">
        <x:v>40</x:v>
      </x:c>
    </x:row>
    <x:row r="137">
      <x:c r="A137" s="1" t="n">
        <x:v>46113</x:v>
      </x:c>
      <x:c r="B137" t="str">
        <x:v>2026-04</x:v>
      </x:c>
      <x:c r="C137" t="str">
        <x:v>Ayşe Demir</x:v>
      </x:c>
      <x:c r="D137" t="n">
        <x:v>382</x:v>
      </x:c>
      <x:c r="E137" t="n">
        <x:v>90</x:v>
      </x:c>
      <x:c r="F137" t="n">
        <x:v>26</x:v>
      </x:c>
      <x:c r="G137" s="2" t="n">
        <x:v>498000</x:v>
      </x:c>
      <x:c r="H137" s="2" t="n">
        <x:v>587000</x:v>
      </x:c>
      <x:c r="I137" s="3" t="n">
        <x:v>0.28888888888888886</x:v>
      </x:c>
      <x:c r="J137" t="n">
        <x:v>48</x:v>
      </x:c>
    </x:row>
    <x:row r="138">
      <x:c r="A138" s="1" t="n">
        <x:v>46113</x:v>
      </x:c>
      <x:c r="B138" t="str">
        <x:v>2026-04</x:v>
      </x:c>
      <x:c r="C138" t="str">
        <x:v>Emre Kaya</x:v>
      </x:c>
      <x:c r="D138" t="n">
        <x:v>324</x:v>
      </x:c>
      <x:c r="E138" t="n">
        <x:v>79</x:v>
      </x:c>
      <x:c r="F138" t="n">
        <x:v>23</x:v>
      </x:c>
      <x:c r="G138" s="2" t="n">
        <x:v>462000</x:v>
      </x:c>
      <x:c r="H138" s="2" t="n">
        <x:v>536000</x:v>
      </x:c>
      <x:c r="I138" s="3" t="n">
        <x:v>0.2911392405063291</x:v>
      </x:c>
      <x:c r="J138" t="n">
        <x:v>46</x:v>
      </x:c>
    </x:row>
    <x:row r="139">
      <x:c r="A139" s="1" t="n">
        <x:v>46113</x:v>
      </x:c>
      <x:c r="B139" t="str">
        <x:v>2026-04</x:v>
      </x:c>
      <x:c r="C139" t="str">
        <x:v>Selin Yılmaz</x:v>
      </x:c>
      <x:c r="D139" t="n">
        <x:v>290</x:v>
      </x:c>
      <x:c r="E139" t="n">
        <x:v>73</x:v>
      </x:c>
      <x:c r="F139" t="n">
        <x:v>21</x:v>
      </x:c>
      <x:c r="G139" s="2" t="n">
        <x:v>441000</x:v>
      </x:c>
      <x:c r="H139" s="2" t="n">
        <x:v>511000</x:v>
      </x:c>
      <x:c r="I139" s="3" t="n">
        <x:v>0.2876712328767123</x:v>
      </x:c>
      <x:c r="J139" t="n">
        <x:v>44</x:v>
      </x:c>
    </x:row>
    <x:row r="140">
      <x:c r="A140" s="1" t="n">
        <x:v>46113</x:v>
      </x:c>
      <x:c r="B140" t="str">
        <x:v>2026-04</x:v>
      </x:c>
      <x:c r="C140" t="str">
        <x:v>Can Arslan</x:v>
      </x:c>
      <x:c r="D140" t="n">
        <x:v>291</x:v>
      </x:c>
      <x:c r="E140" t="n">
        <x:v>75</x:v>
      </x:c>
      <x:c r="F140" t="n">
        <x:v>24</x:v>
      </x:c>
      <x:c r="G140" s="2" t="n">
        <x:v>527000</x:v>
      </x:c>
      <x:c r="H140" s="2" t="n">
        <x:v>485000</x:v>
      </x:c>
      <x:c r="I140" s="3" t="n">
        <x:v>0.32</x:v>
      </x:c>
      <x:c r="J140" t="n">
        <x:v>43</x:v>
      </x:c>
    </x:row>
    <x:row r="141">
      <x:c r="A141" s="1" t="n">
        <x:v>46113</x:v>
      </x:c>
      <x:c r="B141" t="str">
        <x:v>2026-04</x:v>
      </x:c>
      <x:c r="C141" t="str">
        <x:v>Deniz Koç</x:v>
      </x:c>
      <x:c r="D141" t="n">
        <x:v>282</x:v>
      </x:c>
      <x:c r="E141" t="n">
        <x:v>75</x:v>
      </x:c>
      <x:c r="F141" t="n">
        <x:v>27</x:v>
      </x:c>
      <x:c r="G141" s="2" t="n">
        <x:v>618000</x:v>
      </x:c>
      <x:c r="H141" s="2" t="n">
        <x:v>434000</x:v>
      </x:c>
      <x:c r="I141" s="3" t="n">
        <x:v>0.36</x:v>
      </x:c>
      <x:c r="J141" t="n">
        <x:v>41</x:v>
      </x:c>
    </x:row>
    <x:row r="142">
      <x:c r="A142" s="1" t="n">
        <x:v>46143</x:v>
      </x:c>
      <x:c r="B142" t="str">
        <x:v>2026-05</x:v>
      </x:c>
      <x:c r="C142" t="str">
        <x:v>Ayşe Demir</x:v>
      </x:c>
      <x:c r="D142" t="n">
        <x:v>363</x:v>
      </x:c>
      <x:c r="E142" t="n">
        <x:v>85</x:v>
      </x:c>
      <x:c r="F142" t="n">
        <x:v>24</x:v>
      </x:c>
      <x:c r="G142" s="2" t="n">
        <x:v>455000</x:v>
      </x:c>
      <x:c r="H142" s="2" t="n">
        <x:v>598000</x:v>
      </x:c>
      <x:c r="I142" s="3" t="n">
        <x:v>0.2823529411764706</x:v>
      </x:c>
      <x:c r="J142" t="n">
        <x:v>49</x:v>
      </x:c>
    </x:row>
    <x:row r="143">
      <x:c r="A143" s="1" t="n">
        <x:v>46143</x:v>
      </x:c>
      <x:c r="B143" t="str">
        <x:v>2026-05</x:v>
      </x:c>
      <x:c r="C143" t="str">
        <x:v>Emre Kaya</x:v>
      </x:c>
      <x:c r="D143" t="n">
        <x:v>305</x:v>
      </x:c>
      <x:c r="E143" t="n">
        <x:v>74</x:v>
      </x:c>
      <x:c r="F143" t="n">
        <x:v>21</x:v>
      </x:c>
      <x:c r="G143" s="2" t="n">
        <x:v>417000</x:v>
      </x:c>
      <x:c r="H143" s="2" t="n">
        <x:v>546000</x:v>
      </x:c>
      <x:c r="I143" s="3" t="n">
        <x:v>0.28378378378378377</x:v>
      </x:c>
      <x:c r="J143" t="n">
        <x:v>47</x:v>
      </x:c>
    </x:row>
    <x:row r="144">
      <x:c r="A144" s="1" t="n">
        <x:v>46143</x:v>
      </x:c>
      <x:c r="B144" t="str">
        <x:v>2026-05</x:v>
      </x:c>
      <x:c r="C144" t="str">
        <x:v>Selin Yılmaz</x:v>
      </x:c>
      <x:c r="D144" t="n">
        <x:v>297</x:v>
      </x:c>
      <x:c r="E144" t="n">
        <x:v>75</x:v>
      </x:c>
      <x:c r="F144" t="n">
        <x:v>22</x:v>
      </x:c>
      <x:c r="G144" s="2" t="n">
        <x:v>458000</x:v>
      </x:c>
      <x:c r="H144" s="2" t="n">
        <x:v>520000</x:v>
      </x:c>
      <x:c r="I144" s="3" t="n">
        <x:v>0.29333333333333333</x:v>
      </x:c>
      <x:c r="J144" t="n">
        <x:v>45</x:v>
      </x:c>
    </x:row>
    <x:row r="145">
      <x:c r="A145" s="1" t="n">
        <x:v>46143</x:v>
      </x:c>
      <x:c r="B145" t="str">
        <x:v>2026-05</x:v>
      </x:c>
      <x:c r="C145" t="str">
        <x:v>Can Arslan</x:v>
      </x:c>
      <x:c r="D145" t="n">
        <x:v>309</x:v>
      </x:c>
      <x:c r="E145" t="n">
        <x:v>80</x:v>
      </x:c>
      <x:c r="F145" t="n">
        <x:v>26</x:v>
      </x:c>
      <x:c r="G145" s="2" t="n">
        <x:v>565000</x:v>
      </x:c>
      <x:c r="H145" s="2" t="n">
        <x:v>494000</x:v>
      </x:c>
      <x:c r="I145" s="3" t="n">
        <x:v>0.325</x:v>
      </x:c>
      <x:c r="J145" t="n">
        <x:v>44</x:v>
      </x:c>
    </x:row>
    <x:row r="146">
      <x:c r="A146" s="1" t="n">
        <x:v>46143</x:v>
      </x:c>
      <x:c r="B146" t="str">
        <x:v>2026-05</x:v>
      </x:c>
      <x:c r="C146" t="str">
        <x:v>Deniz Koç</x:v>
      </x:c>
      <x:c r="D146" t="n">
        <x:v>278</x:v>
      </x:c>
      <x:c r="E146" t="n">
        <x:v>74</x:v>
      </x:c>
      <x:c r="F146" t="n">
        <x:v>27</x:v>
      </x:c>
      <x:c r="G146" s="2" t="n">
        <x:v>612000</x:v>
      </x:c>
      <x:c r="H146" s="2" t="n">
        <x:v>442000</x:v>
      </x:c>
      <x:c r="I146" s="3" t="n">
        <x:v>0.36486486486486486</x:v>
      </x:c>
      <x:c r="J146" t="n">
        <x:v>42</x:v>
      </x:c>
    </x:row>
    <x:row r="147">
      <x:c r="A147" s="1" t="n">
        <x:v>46174</x:v>
      </x:c>
      <x:c r="B147" t="str">
        <x:v>2026-06</x:v>
      </x:c>
      <x:c r="C147" t="str">
        <x:v>Ayşe Demir</x:v>
      </x:c>
      <x:c r="D147" t="n">
        <x:v>320</x:v>
      </x:c>
      <x:c r="E147" t="n">
        <x:v>75</x:v>
      </x:c>
      <x:c r="F147" t="n">
        <x:v>21</x:v>
      </x:c>
      <x:c r="G147" s="2" t="n">
        <x:v>392000</x:v>
      </x:c>
      <x:c r="H147" s="2" t="n">
        <x:v>562000</x:v>
      </x:c>
      <x:c r="I147" s="3" t="n">
        <x:v>0.28</x:v>
      </x:c>
      <x:c r="J147" t="n">
        <x:v>50</x:v>
      </x:c>
    </x:row>
    <x:row r="148">
      <x:c r="A148" s="1" t="n">
        <x:v>46174</x:v>
      </x:c>
      <x:c r="B148" t="str">
        <x:v>2026-06</x:v>
      </x:c>
      <x:c r="C148" t="str">
        <x:v>Emre Kaya</x:v>
      </x:c>
      <x:c r="D148" t="n">
        <x:v>289</x:v>
      </x:c>
      <x:c r="E148" t="n">
        <x:v>70</x:v>
      </x:c>
      <x:c r="F148" t="n">
        <x:v>19</x:v>
      </x:c>
      <x:c r="G148" s="2" t="n">
        <x:v>372000</x:v>
      </x:c>
      <x:c r="H148" s="2" t="n">
        <x:v>513000</x:v>
      </x:c>
      <x:c r="I148" s="3" t="n">
        <x:v>0.2714285714285714</x:v>
      </x:c>
      <x:c r="J148" t="n">
        <x:v>48</x:v>
      </x:c>
    </x:row>
    <x:row r="149">
      <x:c r="A149" s="1" t="n">
        <x:v>46174</x:v>
      </x:c>
      <x:c r="B149" t="str">
        <x:v>2026-06</x:v>
      </x:c>
      <x:c r="C149" t="str">
        <x:v>Selin Yılmaz</x:v>
      </x:c>
      <x:c r="D149" t="n">
        <x:v>300</x:v>
      </x:c>
      <x:c r="E149" t="n">
        <x:v>75</x:v>
      </x:c>
      <x:c r="F149" t="n">
        <x:v>22</x:v>
      </x:c>
      <x:c r="G149" s="2" t="n">
        <x:v>451000</x:v>
      </x:c>
      <x:c r="H149" s="2" t="n">
        <x:v>489000</x:v>
      </x:c>
      <x:c r="I149" s="3" t="n">
        <x:v>0.29333333333333333</x:v>
      </x:c>
      <x:c r="J149" t="n">
        <x:v>46</x:v>
      </x:c>
    </x:row>
    <x:row r="150">
      <x:c r="A150" s="1" t="n">
        <x:v>46174</x:v>
      </x:c>
      <x:c r="B150" t="str">
        <x:v>2026-06</x:v>
      </x:c>
      <x:c r="C150" t="str">
        <x:v>Can Arslan</x:v>
      </x:c>
      <x:c r="D150" t="n">
        <x:v>297</x:v>
      </x:c>
      <x:c r="E150" t="n">
        <x:v>77</x:v>
      </x:c>
      <x:c r="F150" t="n">
        <x:v>26</x:v>
      </x:c>
      <x:c r="G150" s="2" t="n">
        <x:v>557000</x:v>
      </x:c>
      <x:c r="H150" s="2" t="n">
        <x:v>464000</x:v>
      </x:c>
      <x:c r="I150" s="3" t="n">
        <x:v>0.33766233766233766</x:v>
      </x:c>
      <x:c r="J150" t="n">
        <x:v>45</x:v>
      </x:c>
    </x:row>
    <x:row r="151">
      <x:c r="A151" s="1" t="n">
        <x:v>46174</x:v>
      </x:c>
      <x:c r="B151" t="str">
        <x:v>2026-06</x:v>
      </x:c>
      <x:c r="C151" t="str">
        <x:v>Deniz Koç</x:v>
      </x:c>
      <x:c r="D151" t="n">
        <x:v>248</x:v>
      </x:c>
      <x:c r="E151" t="n">
        <x:v>66</x:v>
      </x:c>
      <x:c r="F151" t="n">
        <x:v>24</x:v>
      </x:c>
      <x:c r="G151" s="2" t="n">
        <x:v>536000</x:v>
      </x:c>
      <x:c r="H151" s="2" t="n">
        <x:v>415000</x:v>
      </x:c>
      <x:c r="I151" s="3" t="n">
        <x:v>0.36363636363636365</x:v>
      </x:c>
      <x:c r="J151" t="n">
        <x:v>43</x:v>
      </x:c>
    </x:row>
    <x:row r="152">
      <x:c r="A152" s="1" t="n">
        <x:v>46204</x:v>
      </x:c>
      <x:c r="B152" t="str">
        <x:v>2026-07</x:v>
      </x:c>
      <x:c r="C152" t="str">
        <x:v>Ayşe Demir</x:v>
      </x:c>
      <x:c r="D152" t="n">
        <x:v>306</x:v>
      </x:c>
      <x:c r="E152" t="n">
        <x:v>72</x:v>
      </x:c>
      <x:c r="F152" t="n">
        <x:v>19</x:v>
      </x:c>
      <x:c r="G152" s="2" t="n">
        <x:v>353000</x:v>
      </x:c>
      <x:c r="H152" s="2" t="n">
        <x:v>526000</x:v>
      </x:c>
      <x:c r="I152" s="3" t="n">
        <x:v>0.2638888888888889</x:v>
      </x:c>
      <x:c r="J152" t="n">
        <x:v>51</x:v>
      </x:c>
    </x:row>
    <x:row r="153">
      <x:c r="A153" s="1" t="n">
        <x:v>46204</x:v>
      </x:c>
      <x:c r="B153" t="str">
        <x:v>2026-07</x:v>
      </x:c>
      <x:c r="C153" t="str">
        <x:v>Emre Kaya</x:v>
      </x:c>
      <x:c r="D153" t="n">
        <x:v>300</x:v>
      </x:c>
      <x:c r="E153" t="n">
        <x:v>73</x:v>
      </x:c>
      <x:c r="F153" t="n">
        <x:v>20</x:v>
      </x:c>
      <x:c r="G153" s="2" t="n">
        <x:v>390000</x:v>
      </x:c>
      <x:c r="H153" s="2" t="n">
        <x:v>480000</x:v>
      </x:c>
      <x:c r="I153" s="3" t="n">
        <x:v>0.273972602739726</x:v>
      </x:c>
      <x:c r="J153" t="n">
        <x:v>49</x:v>
      </x:c>
    </x:row>
    <x:row r="154">
      <x:c r="A154" s="1" t="n">
        <x:v>46204</x:v>
      </x:c>
      <x:c r="B154" t="str">
        <x:v>2026-07</x:v>
      </x:c>
      <x:c r="C154" t="str">
        <x:v>Selin Yılmaz</x:v>
      </x:c>
      <x:c r="D154" t="n">
        <x:v>306</x:v>
      </x:c>
      <x:c r="E154" t="n">
        <x:v>77</x:v>
      </x:c>
      <x:c r="F154" t="n">
        <x:v>23</x:v>
      </x:c>
      <x:c r="G154" s="2" t="n">
        <x:v>469000</x:v>
      </x:c>
      <x:c r="H154" s="2" t="n">
        <x:v>458000</x:v>
      </x:c>
      <x:c r="I154" s="3" t="n">
        <x:v>0.2987012987012987</x:v>
      </x:c>
      <x:c r="J154" t="n">
        <x:v>47</x:v>
      </x:c>
    </x:row>
    <x:row r="155">
      <x:c r="A155" s="1" t="n">
        <x:v>46204</x:v>
      </x:c>
      <x:c r="B155" t="str">
        <x:v>2026-07</x:v>
      </x:c>
      <x:c r="C155" t="str">
        <x:v>Can Arslan</x:v>
      </x:c>
      <x:c r="D155" t="n">
        <x:v>278</x:v>
      </x:c>
      <x:c r="E155" t="n">
        <x:v>72</x:v>
      </x:c>
      <x:c r="F155" t="n">
        <x:v>24</x:v>
      </x:c>
      <x:c r="G155" s="2" t="n">
        <x:v>511000</x:v>
      </x:c>
      <x:c r="H155" s="2" t="n">
        <x:v>435000</x:v>
      </x:c>
      <x:c r="I155" s="3" t="n">
        <x:v>0.3333333333333333</x:v>
      </x:c>
      <x:c r="J155" t="n">
        <x:v>46</x:v>
      </x:c>
    </x:row>
    <x:row r="156">
      <x:c r="A156" s="1" t="n">
        <x:v>46204</x:v>
      </x:c>
      <x:c r="B156" t="str">
        <x:v>2026-07</x:v>
      </x:c>
      <x:c r="C156" t="str">
        <x:v>Deniz Koç</x:v>
      </x:c>
      <x:c r="D156" t="n">
        <x:v>228</x:v>
      </x:c>
      <x:c r="E156" t="n">
        <x:v>61</x:v>
      </x:c>
      <x:c r="F156" t="n">
        <x:v>22</x:v>
      </x:c>
      <x:c r="G156" s="2" t="n">
        <x:v>489000</x:v>
      </x:c>
      <x:c r="H156" s="2" t="n">
        <x:v>389000</x:v>
      </x:c>
      <x:c r="I156" s="3" t="n">
        <x:v>0.36065573770491804</x:v>
      </x:c>
      <x:c r="J156" t="n">
        <x:v>44</x:v>
      </x:c>
    </x:row>
    <x:row r="157">
      <x:c r="A157" s="1" t="n">
        <x:v>46235</x:v>
      </x:c>
      <x:c r="B157" t="str">
        <x:v>2026-08</x:v>
      </x:c>
      <x:c r="C157" t="str">
        <x:v>Ayşe Demir</x:v>
      </x:c>
      <x:c r="D157" t="n">
        <x:v>326</x:v>
      </x:c>
      <x:c r="E157" t="n">
        <x:v>77</x:v>
      </x:c>
      <x:c r="F157" t="n">
        <x:v>20</x:v>
      </x:c>
      <x:c r="G157" s="2" t="n">
        <x:v>370000</x:v>
      </x:c>
      <x:c r="H157" s="2" t="n">
        <x:v>535000</x:v>
      </x:c>
      <x:c r="I157" s="3" t="n">
        <x:v>0.2597402597402597</x:v>
      </x:c>
      <x:c r="J157" t="n">
        <x:v>52</x:v>
      </x:c>
    </x:row>
    <x:row r="158">
      <x:c r="A158" s="1" t="n">
        <x:v>46235</x:v>
      </x:c>
      <x:c r="B158" t="str">
        <x:v>2026-08</x:v>
      </x:c>
      <x:c r="C158" t="str">
        <x:v>Emre Kaya</x:v>
      </x:c>
      <x:c r="D158" t="n">
        <x:v>324</x:v>
      </x:c>
      <x:c r="E158" t="n">
        <x:v>79</x:v>
      </x:c>
      <x:c r="F158" t="n">
        <x:v>22</x:v>
      </x:c>
      <x:c r="G158" s="2" t="n">
        <x:v>427000</x:v>
      </x:c>
      <x:c r="H158" s="2" t="n">
        <x:v>488000</x:v>
      </x:c>
      <x:c r="I158" s="3" t="n">
        <x:v>0.27848101265822783</x:v>
      </x:c>
      <x:c r="J158" t="n">
        <x:v>50</x:v>
      </x:c>
    </x:row>
    <x:row r="159">
      <x:c r="A159" s="1" t="n">
        <x:v>46235</x:v>
      </x:c>
      <x:c r="B159" t="str">
        <x:v>2026-08</x:v>
      </x:c>
      <x:c r="C159" t="str">
        <x:v>Selin Yılmaz</x:v>
      </x:c>
      <x:c r="D159" t="n">
        <x:v>306</x:v>
      </x:c>
      <x:c r="E159" t="n">
        <x:v>77</x:v>
      </x:c>
      <x:c r="F159" t="n">
        <x:v>24</x:v>
      </x:c>
      <x:c r="G159" s="2" t="n">
        <x:v>487000</x:v>
      </x:c>
      <x:c r="H159" s="2" t="n">
        <x:v>465000</x:v>
      </x:c>
      <x:c r="I159" s="3" t="n">
        <x:v>0.3116883116883117</x:v>
      </x:c>
      <x:c r="J159" t="n">
        <x:v>48</x:v>
      </x:c>
    </x:row>
    <x:row r="160">
      <x:c r="A160" s="1" t="n">
        <x:v>46235</x:v>
      </x:c>
      <x:c r="B160" t="str">
        <x:v>2026-08</x:v>
      </x:c>
      <x:c r="C160" t="str">
        <x:v>Can Arslan</x:v>
      </x:c>
      <x:c r="D160" t="n">
        <x:v>266</x:v>
      </x:c>
      <x:c r="E160" t="n">
        <x:v>69</x:v>
      </x:c>
      <x:c r="F160" t="n">
        <x:v>24</x:v>
      </x:c>
      <x:c r="G160" s="2" t="n">
        <x:v>509000</x:v>
      </x:c>
      <x:c r="H160" s="2" t="n">
        <x:v>442000</x:v>
      </x:c>
      <x:c r="I160" s="3" t="n">
        <x:v>0.34782608695652173</x:v>
      </x:c>
      <x:c r="J160" t="n">
        <x:v>47</x:v>
      </x:c>
    </x:row>
    <x:row r="161">
      <x:c r="A161" s="1" t="n">
        <x:v>46235</x:v>
      </x:c>
      <x:c r="B161" t="str">
        <x:v>2026-08</x:v>
      </x:c>
      <x:c r="C161" t="str">
        <x:v>Deniz Koç</x:v>
      </x:c>
      <x:c r="D161" t="n">
        <x:v>233</x:v>
      </x:c>
      <x:c r="E161" t="n">
        <x:v>62</x:v>
      </x:c>
      <x:c r="F161" t="n">
        <x:v>23</x:v>
      </x:c>
      <x:c r="G161" s="2" t="n">
        <x:v>509000</x:v>
      </x:c>
      <x:c r="H161" s="2" t="n">
        <x:v>395000</x:v>
      </x:c>
      <x:c r="I161" s="3" t="n">
        <x:v>0.3709677419354839</x:v>
      </x:c>
      <x:c r="J161" t="n">
        <x:v>45</x:v>
      </x:c>
    </x:row>
    <x:row r="162">
      <x:c r="A162" s="1" t="n">
        <x:v>46266</x:v>
      </x:c>
      <x:c r="B162" t="str">
        <x:v>2026-09</x:v>
      </x:c>
      <x:c r="C162" t="str">
        <x:v>Ayşe Demir</x:v>
      </x:c>
      <x:c r="D162" t="n">
        <x:v>363</x:v>
      </x:c>
      <x:c r="E162" t="n">
        <x:v>85</x:v>
      </x:c>
      <x:c r="F162" t="n">
        <x:v>22</x:v>
      </x:c>
      <x:c r="G162" s="2" t="n">
        <x:v>407000</x:v>
      </x:c>
      <x:c r="H162" s="2" t="n">
        <x:v>578000</x:v>
      </x:c>
      <x:c r="I162" s="3" t="n">
        <x:v>0.25882352941176473</x:v>
      </x:c>
      <x:c r="J162" t="n">
        <x:v>53</x:v>
      </x:c>
    </x:row>
    <x:row r="163">
      <x:c r="A163" s="1" t="n">
        <x:v>46266</x:v>
      </x:c>
      <x:c r="B163" t="str">
        <x:v>2026-09</x:v>
      </x:c>
      <x:c r="C163" t="str">
        <x:v>Emre Kaya</x:v>
      </x:c>
      <x:c r="D163" t="n">
        <x:v>339</x:v>
      </x:c>
      <x:c r="E163" t="n">
        <x:v>82</x:v>
      </x:c>
      <x:c r="F163" t="n">
        <x:v>23</x:v>
      </x:c>
      <x:c r="G163" s="2" t="n">
        <x:v>446000</x:v>
      </x:c>
      <x:c r="H163" s="2" t="n">
        <x:v>528000</x:v>
      </x:c>
      <x:c r="I163" s="3" t="n">
        <x:v>0.2804878048780488</x:v>
      </x:c>
      <x:c r="J163" t="n">
        <x:v>51</x:v>
      </x:c>
    </x:row>
    <x:row r="164">
      <x:c r="A164" s="1" t="n">
        <x:v>46266</x:v>
      </x:c>
      <x:c r="B164" t="str">
        <x:v>2026-09</x:v>
      </x:c>
      <x:c r="C164" t="str">
        <x:v>Selin Yılmaz</x:v>
      </x:c>
      <x:c r="D164" t="n">
        <x:v>299</x:v>
      </x:c>
      <x:c r="E164" t="n">
        <x:v>75</x:v>
      </x:c>
      <x:c r="F164" t="n">
        <x:v>24</x:v>
      </x:c>
      <x:c r="G164" s="2" t="n">
        <x:v>487000</x:v>
      </x:c>
      <x:c r="H164" s="2" t="n">
        <x:v>503000</x:v>
      </x:c>
      <x:c r="I164" s="3" t="n">
        <x:v>0.32</x:v>
      </x:c>
      <x:c r="J164" t="n">
        <x:v>49</x:v>
      </x:c>
    </x:row>
    <x:row r="165">
      <x:c r="A165" s="1" t="n">
        <x:v>46266</x:v>
      </x:c>
      <x:c r="B165" t="str">
        <x:v>2026-09</x:v>
      </x:c>
      <x:c r="C165" t="str">
        <x:v>Can Arslan</x:v>
      </x:c>
      <x:c r="D165" t="n">
        <x:v>268</x:v>
      </x:c>
      <x:c r="E165" t="n">
        <x:v>69</x:v>
      </x:c>
      <x:c r="F165" t="n">
        <x:v>24</x:v>
      </x:c>
      <x:c r="G165" s="2" t="n">
        <x:v>509000</x:v>
      </x:c>
      <x:c r="H165" s="2" t="n">
        <x:v>478000</x:v>
      </x:c>
      <x:c r="I165" s="3" t="n">
        <x:v>0.34782608695652173</x:v>
      </x:c>
      <x:c r="J165" t="n">
        <x:v>48</x:v>
      </x:c>
    </x:row>
    <x:row r="166">
      <x:c r="A166" s="1" t="n">
        <x:v>46266</x:v>
      </x:c>
      <x:c r="B166" t="str">
        <x:v>2026-09</x:v>
      </x:c>
      <x:c r="C166" t="str">
        <x:v>Deniz Koç</x:v>
      </x:c>
      <x:c r="D166" t="n">
        <x:v>256</x:v>
      </x:c>
      <x:c r="E166" t="n">
        <x:v>68</x:v>
      </x:c>
      <x:c r="F166" t="n">
        <x:v>25</x:v>
      </x:c>
      <x:c r="G166" s="2" t="n">
        <x:v>553000</x:v>
      </x:c>
      <x:c r="H166" s="2" t="n">
        <x:v>428000</x:v>
      </x:c>
      <x:c r="I166" s="3" t="n">
        <x:v>0.36764705882352944</x:v>
      </x:c>
      <x:c r="J166" t="n">
        <x:v>46</x:v>
      </x:c>
    </x:row>
    <x:row r="167">
      <x:c r="A167" s="1" t="n">
        <x:v>46296</x:v>
      </x:c>
      <x:c r="B167" t="str">
        <x:v>2026-10</x:v>
      </x:c>
      <x:c r="C167" t="str">
        <x:v>Ayşe Demir</x:v>
      </x:c>
      <x:c r="D167" t="n">
        <x:v>396</x:v>
      </x:c>
      <x:c r="E167" t="n">
        <x:v>93</x:v>
      </x:c>
      <x:c r="F167" t="n">
        <x:v>24</x:v>
      </x:c>
      <x:c r="G167" s="2" t="n">
        <x:v>446000</x:v>
      </x:c>
      <x:c r="H167" s="2" t="n">
        <x:v>609000</x:v>
      </x:c>
      <x:c r="I167" s="3" t="n">
        <x:v>0.25806451612903225</x:v>
      </x:c>
      <x:c r="J167" t="n">
        <x:v>53</x:v>
      </x:c>
    </x:row>
    <x:row r="168">
      <x:c r="A168" s="1" t="n">
        <x:v>46296</x:v>
      </x:c>
      <x:c r="B168" t="str">
        <x:v>2026-10</x:v>
      </x:c>
      <x:c r="C168" t="str">
        <x:v>Emre Kaya</x:v>
      </x:c>
      <x:c r="D168" t="n">
        <x:v>341</x:v>
      </x:c>
      <x:c r="E168" t="n">
        <x:v>83</x:v>
      </x:c>
      <x:c r="F168" t="n">
        <x:v>24</x:v>
      </x:c>
      <x:c r="G168" s="2" t="n">
        <x:v>468000</x:v>
      </x:c>
      <x:c r="H168" s="2" t="n">
        <x:v>556000</x:v>
      </x:c>
      <x:c r="I168" s="3" t="n">
        <x:v>0.2891566265060241</x:v>
      </x:c>
      <x:c r="J168" t="n">
        <x:v>51</x:v>
      </x:c>
    </x:row>
    <x:row r="169">
      <x:c r="A169" s="1" t="n">
        <x:v>46296</x:v>
      </x:c>
      <x:c r="B169" t="str">
        <x:v>2026-10</x:v>
      </x:c>
      <x:c r="C169" t="str">
        <x:v>Selin Yılmaz</x:v>
      </x:c>
      <x:c r="D169" t="n">
        <x:v>300</x:v>
      </x:c>
      <x:c r="E169" t="n">
        <x:v>75</x:v>
      </x:c>
      <x:c r="F169" t="n">
        <x:v>24</x:v>
      </x:c>
      <x:c r="G169" s="2" t="n">
        <x:v>490000</x:v>
      </x:c>
      <x:c r="H169" s="2" t="n">
        <x:v>529000</x:v>
      </x:c>
      <x:c r="I169" s="3" t="n">
        <x:v>0.32</x:v>
      </x:c>
      <x:c r="J169" t="n">
        <x:v>49</x:v>
      </x:c>
    </x:row>
    <x:row r="170">
      <x:c r="A170" s="1" t="n">
        <x:v>46296</x:v>
      </x:c>
      <x:c r="B170" t="str">
        <x:v>2026-10</x:v>
      </x:c>
      <x:c r="C170" t="str">
        <x:v>Can Arslan</x:v>
      </x:c>
      <x:c r="D170" t="n">
        <x:v>295</x:v>
      </x:c>
      <x:c r="E170" t="n">
        <x:v>76</x:v>
      </x:c>
      <x:c r="F170" t="n">
        <x:v>27</x:v>
      </x:c>
      <x:c r="G170" s="2" t="n">
        <x:v>575000</x:v>
      </x:c>
      <x:c r="H170" s="2" t="n">
        <x:v>503000</x:v>
      </x:c>
      <x:c r="I170" s="3" t="n">
        <x:v>0.35526315789473684</x:v>
      </x:c>
      <x:c r="J170" t="n">
        <x:v>48</x:v>
      </x:c>
    </x:row>
    <x:row r="171">
      <x:c r="A171" s="1" t="n">
        <x:v>46296</x:v>
      </x:c>
      <x:c r="B171" t="str">
        <x:v>2026-10</x:v>
      </x:c>
      <x:c r="C171" t="str">
        <x:v>Deniz Koç</x:v>
      </x:c>
      <x:c r="D171" t="n">
        <x:v>288</x:v>
      </x:c>
      <x:c r="E171" t="n">
        <x:v>77</x:v>
      </x:c>
      <x:c r="F171" t="n">
        <x:v>28</x:v>
      </x:c>
      <x:c r="G171" s="2" t="n">
        <x:v>622000</x:v>
      </x:c>
      <x:c r="H171" s="2" t="n">
        <x:v>450000</x:v>
      </x:c>
      <x:c r="I171" s="3" t="n">
        <x:v>0.36363636363636365</x:v>
      </x:c>
      <x:c r="J171" t="n">
        <x:v>46</x:v>
      </x:c>
    </x:row>
    <x:row r="172">
      <x:c r="A172" s="1" t="n">
        <x:v>46327</x:v>
      </x:c>
      <x:c r="B172" t="str">
        <x:v>2026-11</x:v>
      </x:c>
      <x:c r="C172" t="str">
        <x:v>Ayşe Demir</x:v>
      </x:c>
      <x:c r="D172" t="n">
        <x:v>410</x:v>
      </x:c>
      <x:c r="E172" t="n">
        <x:v>96</x:v>
      </x:c>
      <x:c r="F172" t="n">
        <x:v>25</x:v>
      </x:c>
      <x:c r="G172" s="2" t="n">
        <x:v>469000</x:v>
      </x:c>
      <x:c r="H172" s="2" t="n">
        <x:v>637000</x:v>
      </x:c>
      <x:c r="I172" s="3" t="n">
        <x:v>0.2604166666666667</x:v>
      </x:c>
      <x:c r="J172" t="n">
        <x:v>52</x:v>
      </x:c>
    </x:row>
    <x:row r="173">
      <x:c r="A173" s="1" t="n">
        <x:v>46327</x:v>
      </x:c>
      <x:c r="B173" t="str">
        <x:v>2026-11</x:v>
      </x:c>
      <x:c r="C173" t="str">
        <x:v>Emre Kaya</x:v>
      </x:c>
      <x:c r="D173" t="n">
        <x:v>342</x:v>
      </x:c>
      <x:c r="E173" t="n">
        <x:v>83</x:v>
      </x:c>
      <x:c r="F173" t="n">
        <x:v>24</x:v>
      </x:c>
      <x:c r="G173" s="2" t="n">
        <x:v>472000</x:v>
      </x:c>
      <x:c r="H173" s="2" t="n">
        <x:v>581000</x:v>
      </x:c>
      <x:c r="I173" s="3" t="n">
        <x:v>0.2891566265060241</x:v>
      </x:c>
      <x:c r="J173" t="n">
        <x:v>50</x:v>
      </x:c>
    </x:row>
    <x:row r="174">
      <x:c r="A174" s="1" t="n">
        <x:v>46327</x:v>
      </x:c>
      <x:c r="B174" t="str">
        <x:v>2026-11</x:v>
      </x:c>
      <x:c r="C174" t="str">
        <x:v>Selin Yılmaz</x:v>
      </x:c>
      <x:c r="D174" t="n">
        <x:v>325</x:v>
      </x:c>
      <x:c r="E174" t="n">
        <x:v>82</x:v>
      </x:c>
      <x:c r="F174" t="n">
        <x:v>27</x:v>
      </x:c>
      <x:c r="G174" s="2" t="n">
        <x:v>556000</x:v>
      </x:c>
      <x:c r="H174" s="2" t="n">
        <x:v>554000</x:v>
      </x:c>
      <x:c r="I174" s="3" t="n">
        <x:v>0.32926829268292684</x:v>
      </x:c>
      <x:c r="J174" t="n">
        <x:v>48</x:v>
      </x:c>
    </x:row>
    <x:row r="175">
      <x:c r="A175" s="1" t="n">
        <x:v>46327</x:v>
      </x:c>
      <x:c r="B175" t="str">
        <x:v>2026-11</x:v>
      </x:c>
      <x:c r="C175" t="str">
        <x:v>Can Arslan</x:v>
      </x:c>
      <x:c r="D175" t="n">
        <x:v>338</x:v>
      </x:c>
      <x:c r="E175" t="n">
        <x:v>88</x:v>
      </x:c>
      <x:c r="F175" t="n">
        <x:v>31</x:v>
      </x:c>
      <x:c r="G175" s="2" t="n">
        <x:v>667000</x:v>
      </x:c>
      <x:c r="H175" s="2" t="n">
        <x:v>526000</x:v>
      </x:c>
      <x:c r="I175" s="3" t="n">
        <x:v>0.3522727272727273</x:v>
      </x:c>
      <x:c r="J175" t="n">
        <x:v>47</x:v>
      </x:c>
    </x:row>
    <x:row r="176">
      <x:c r="A176" s="1" t="n">
        <x:v>46327</x:v>
      </x:c>
      <x:c r="B176" t="str">
        <x:v>2026-11</x:v>
      </x:c>
      <x:c r="C176" t="str">
        <x:v>Deniz Koç</x:v>
      </x:c>
      <x:c r="D176" t="n">
        <x:v>312</x:v>
      </x:c>
      <x:c r="E176" t="n">
        <x:v>83</x:v>
      </x:c>
      <x:c r="F176" t="n">
        <x:v>29</x:v>
      </x:c>
      <x:c r="G176" s="2" t="n">
        <x:v>651000</x:v>
      </x:c>
      <x:c r="H176" s="2" t="n">
        <x:v>471000</x:v>
      </x:c>
      <x:c r="I176" s="3" t="n">
        <x:v>0.3493975903614458</x:v>
      </x:c>
      <x:c r="J176" t="n">
        <x:v>45</x:v>
      </x:c>
    </x:row>
    <x:row r="177">
      <x:c r="A177" s="1" t="n">
        <x:v>46357</x:v>
      </x:c>
      <x:c r="B177" t="str">
        <x:v>2026-12</x:v>
      </x:c>
      <x:c r="C177" t="str">
        <x:v>Ayşe Demir</x:v>
      </x:c>
      <x:c r="D177" t="n">
        <x:v>393</x:v>
      </x:c>
      <x:c r="E177" t="n">
        <x:v>92</x:v>
      </x:c>
      <x:c r="F177" t="n">
        <x:v>24</x:v>
      </x:c>
      <x:c r="G177" s="2" t="n">
        <x:v>455000</x:v>
      </x:c>
      <x:c r="H177" s="2" t="n">
        <x:v>671000</x:v>
      </x:c>
      <x:c r="I177" s="3" t="n">
        <x:v>0.2608695652173913</x:v>
      </x:c>
      <x:c r="J177" t="n">
        <x:v>51</x:v>
      </x:c>
    </x:row>
    <x:row r="178">
      <x:c r="A178" s="1" t="n">
        <x:v>46357</x:v>
      </x:c>
      <x:c r="B178" t="str">
        <x:v>2026-12</x:v>
      </x:c>
      <x:c r="C178" t="str">
        <x:v>Emre Kaya</x:v>
      </x:c>
      <x:c r="D178" t="n">
        <x:v>345</x:v>
      </x:c>
      <x:c r="E178" t="n">
        <x:v>84</x:v>
      </x:c>
      <x:c r="F178" t="n">
        <x:v>25</x:v>
      </x:c>
      <x:c r="G178" s="2" t="n">
        <x:v>497000</x:v>
      </x:c>
      <x:c r="H178" s="2" t="n">
        <x:v>613000</x:v>
      </x:c>
      <x:c r="I178" s="3" t="n">
        <x:v>0.2976190476190476</x:v>
      </x:c>
      <x:c r="J178" t="n">
        <x:v>49</x:v>
      </x:c>
    </x:row>
    <x:row r="179">
      <x:c r="A179" s="1" t="n">
        <x:v>46357</x:v>
      </x:c>
      <x:c r="B179" t="str">
        <x:v>2026-12</x:v>
      </x:c>
      <x:c r="C179" t="str">
        <x:v>Selin Yılmaz</x:v>
      </x:c>
      <x:c r="D179" t="n">
        <x:v>355</x:v>
      </x:c>
      <x:c r="E179" t="n">
        <x:v>89</x:v>
      </x:c>
      <x:c r="F179" t="n">
        <x:v>30</x:v>
      </x:c>
      <x:c r="G179" s="2" t="n">
        <x:v>624000</x:v>
      </x:c>
      <x:c r="H179" s="2" t="n">
        <x:v>583000</x:v>
      </x:c>
      <x:c r="I179" s="3" t="n">
        <x:v>0.33707865168539325</x:v>
      </x:c>
      <x:c r="J179" t="n">
        <x:v>47</x:v>
      </x:c>
    </x:row>
    <x:row r="180">
      <x:c r="A180" s="1" t="n">
        <x:v>46357</x:v>
      </x:c>
      <x:c r="B180" t="str">
        <x:v>2026-12</x:v>
      </x:c>
      <x:c r="C180" t="str">
        <x:v>Can Arslan</x:v>
      </x:c>
      <x:c r="D180" t="n">
        <x:v>358</x:v>
      </x:c>
      <x:c r="E180" t="n">
        <x:v>93</x:v>
      </x:c>
      <x:c r="F180" t="n">
        <x:v>32</x:v>
      </x:c>
      <x:c r="G180" s="2" t="n">
        <x:v>695000</x:v>
      </x:c>
      <x:c r="H180" s="2" t="n">
        <x:v>554000</x:v>
      </x:c>
      <x:c r="I180" s="3" t="n">
        <x:v>0.34408602150537637</x:v>
      </x:c>
      <x:c r="J180" t="n">
        <x:v>46</x:v>
      </x:c>
    </x:row>
    <x:row r="181">
      <x:c r="A181" s="1" t="n">
        <x:v>46357</x:v>
      </x:c>
      <x:c r="B181" t="str">
        <x:v>2026-12</x:v>
      </x:c>
      <x:c r="C181" t="str">
        <x:v>Deniz Koç</x:v>
      </x:c>
      <x:c r="D181" t="n">
        <x:v>305</x:v>
      </x:c>
      <x:c r="E181" t="n">
        <x:v>81</x:v>
      </x:c>
      <x:c r="F181" t="n">
        <x:v>28</x:v>
      </x:c>
      <x:c r="G181" s="2" t="n">
        <x:v>634000</x:v>
      </x:c>
      <x:c r="H181" s="2" t="n">
        <x:v>496000</x:v>
      </x:c>
      <x:c r="I181" s="3" t="n">
        <x:v>0.345679012345679</x:v>
      </x:c>
      <x:c r="J181" t="n">
        <x:v>44</x:v>
      </x:c>
    </x:row>
  </x:sheetData>
  <x:pageMargins left="0.7" right="0.7" top="0.75" bottom="0.75" header="0.3" footer="0.3"/>
  <x:tableParts count="1">
    <x:tablePart xmlns:r="http://schemas.openxmlformats.org/officeDocument/2006/relationships" r:id="R751feff0048644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t="str">
        <x:v>Month</x:v>
      </x:c>
      <x:c r="B1" t="str">
        <x:v>Month Key</x:v>
      </x:c>
      <x:c r="C1" t="str">
        <x:v>Lead Source</x:v>
      </x:c>
      <x:c r="D1" t="str">
        <x:v>New Leads</x:v>
      </x:c>
      <x:c r="E1" t="str">
        <x:v>Qualified Leads</x:v>
      </x:c>
      <x:c r="F1" t="str">
        <x:v>Qualification Rate</x:v>
      </x:c>
      <x:c r="G1" t="str">
        <x:v>Acquisition Spend</x:v>
      </x:c>
    </x:row>
    <x:row r="2">
      <x:c r="A2" s="1" t="n">
        <x:v>45292</x:v>
      </x:c>
      <x:c r="B2" t="str">
        <x:v>2024-01</x:v>
      </x:c>
      <x:c r="C2" t="str">
        <x:v>Organic Search</x:v>
      </x:c>
      <x:c r="D2" t="n">
        <x:v>327</x:v>
      </x:c>
      <x:c r="E2" t="n">
        <x:v>199</x:v>
      </x:c>
      <x:c r="F2" s="3" t="n">
        <x:v>0.6085626911314985</x:v>
      </x:c>
      <x:c r="G2" s="2" t="n">
        <x:v>5886</x:v>
      </x:c>
    </x:row>
    <x:row r="3">
      <x:c r="A3" s="1" t="n">
        <x:v>45292</x:v>
      </x:c>
      <x:c r="B3" t="str">
        <x:v>2024-01</x:v>
      </x:c>
      <x:c r="C3" t="str">
        <x:v>Paid Ads</x:v>
      </x:c>
      <x:c r="D3" t="n">
        <x:v>276</x:v>
      </x:c>
      <x:c r="E3" t="n">
        <x:v>132</x:v>
      </x:c>
      <x:c r="F3" s="3" t="n">
        <x:v>0.4782608695652174</x:v>
      </x:c>
      <x:c r="G3" s="2" t="n">
        <x:v>17112</x:v>
      </x:c>
    </x:row>
    <x:row r="4">
      <x:c r="A4" s="1" t="n">
        <x:v>45292</x:v>
      </x:c>
      <x:c r="B4" t="str">
        <x:v>2024-01</x:v>
      </x:c>
      <x:c r="C4" t="str">
        <x:v>Referral</x:v>
      </x:c>
      <x:c r="D4" t="n">
        <x:v>189</x:v>
      </x:c>
      <x:c r="E4" t="n">
        <x:v>127</x:v>
      </x:c>
      <x:c r="F4" s="3" t="n">
        <x:v>0.671957671957672</x:v>
      </x:c>
      <x:c r="G4" s="2" t="n">
        <x:v>2268</x:v>
      </x:c>
    </x:row>
    <x:row r="5">
      <x:c r="A5" s="1" t="n">
        <x:v>45292</x:v>
      </x:c>
      <x:c r="B5" t="str">
        <x:v>2024-01</x:v>
      </x:c>
      <x:c r="C5" t="str">
        <x:v>Events</x:v>
      </x:c>
      <x:c r="D5" t="n">
        <x:v>143</x:v>
      </x:c>
      <x:c r="E5" t="n">
        <x:v>79</x:v>
      </x:c>
      <x:c r="F5" s="3" t="n">
        <x:v>0.5524475524475524</x:v>
      </x:c>
      <x:c r="G5" s="2" t="n">
        <x:v>10582</x:v>
      </x:c>
    </x:row>
    <x:row r="6">
      <x:c r="A6" s="1" t="n">
        <x:v>45292</x:v>
      </x:c>
      <x:c r="B6" t="str">
        <x:v>2024-01</x:v>
      </x:c>
      <x:c r="C6" t="str">
        <x:v>Outbound</x:v>
      </x:c>
      <x:c r="D6" t="n">
        <x:v>145</x:v>
      </x:c>
      <x:c r="E6" t="n">
        <x:v>57</x:v>
      </x:c>
      <x:c r="F6" s="3" t="n">
        <x:v>0.3931034482758621</x:v>
      </x:c>
      <x:c r="G6" s="2" t="n">
        <x:v>5945</x:v>
      </x:c>
    </x:row>
    <x:row r="7">
      <x:c r="A7" s="1" t="n">
        <x:v>45323</x:v>
      </x:c>
      <x:c r="B7" t="str">
        <x:v>2024-02</x:v>
      </x:c>
      <x:c r="C7" t="str">
        <x:v>Organic Search</x:v>
      </x:c>
      <x:c r="D7" t="n">
        <x:v>342</x:v>
      </x:c>
      <x:c r="E7" t="n">
        <x:v>209</x:v>
      </x:c>
      <x:c r="F7" s="3" t="n">
        <x:v>0.6111111111111112</x:v>
      </x:c>
      <x:c r="G7" s="2" t="n">
        <x:v>6156</x:v>
      </x:c>
    </x:row>
    <x:row r="8">
      <x:c r="A8" s="1" t="n">
        <x:v>45323</x:v>
      </x:c>
      <x:c r="B8" t="str">
        <x:v>2024-02</x:v>
      </x:c>
      <x:c r="C8" t="str">
        <x:v>Paid Ads</x:v>
      </x:c>
      <x:c r="D8" t="n">
        <x:v>281</x:v>
      </x:c>
      <x:c r="E8" t="n">
        <x:v>135</x:v>
      </x:c>
      <x:c r="F8" s="3" t="n">
        <x:v>0.4804270462633452</x:v>
      </x:c>
      <x:c r="G8" s="2" t="n">
        <x:v>17422</x:v>
      </x:c>
    </x:row>
    <x:row r="9">
      <x:c r="A9" s="1" t="n">
        <x:v>45323</x:v>
      </x:c>
      <x:c r="B9" t="str">
        <x:v>2024-02</x:v>
      </x:c>
      <x:c r="C9" t="str">
        <x:v>Referral</x:v>
      </x:c>
      <x:c r="D9" t="n">
        <x:v>196</x:v>
      </x:c>
      <x:c r="E9" t="n">
        <x:v>131</x:v>
      </x:c>
      <x:c r="F9" s="3" t="n">
        <x:v>0.6683673469387755</x:v>
      </x:c>
      <x:c r="G9" s="2" t="n">
        <x:v>2352</x:v>
      </x:c>
    </x:row>
    <x:row r="10">
      <x:c r="A10" s="1" t="n">
        <x:v>45323</x:v>
      </x:c>
      <x:c r="B10" t="str">
        <x:v>2024-02</x:v>
      </x:c>
      <x:c r="C10" t="str">
        <x:v>Events</x:v>
      </x:c>
      <x:c r="D10" t="n">
        <x:v>155</x:v>
      </x:c>
      <x:c r="E10" t="n">
        <x:v>85</x:v>
      </x:c>
      <x:c r="F10" s="3" t="n">
        <x:v>0.5483870967741935</x:v>
      </x:c>
      <x:c r="G10" s="2" t="n">
        <x:v>11470</x:v>
      </x:c>
    </x:row>
    <x:row r="11">
      <x:c r="A11" s="1" t="n">
        <x:v>45323</x:v>
      </x:c>
      <x:c r="B11" t="str">
        <x:v>2024-02</x:v>
      </x:c>
      <x:c r="C11" t="str">
        <x:v>Outbound</x:v>
      </x:c>
      <x:c r="D11" t="n">
        <x:v>163</x:v>
      </x:c>
      <x:c r="E11" t="n">
        <x:v>64</x:v>
      </x:c>
      <x:c r="F11" s="3" t="n">
        <x:v>0.39263803680981596</x:v>
      </x:c>
      <x:c r="G11" s="2" t="n">
        <x:v>6683</x:v>
      </x:c>
    </x:row>
    <x:row r="12">
      <x:c r="A12" s="1" t="n">
        <x:v>45352</x:v>
      </x:c>
      <x:c r="B12" t="str">
        <x:v>2024-03</x:v>
      </x:c>
      <x:c r="C12" t="str">
        <x:v>Organic Search</x:v>
      </x:c>
      <x:c r="D12" t="n">
        <x:v>332</x:v>
      </x:c>
      <x:c r="E12" t="n">
        <x:v>203</x:v>
      </x:c>
      <x:c r="F12" s="3" t="n">
        <x:v>0.6114457831325302</x:v>
      </x:c>
      <x:c r="G12" s="2" t="n">
        <x:v>5976</x:v>
      </x:c>
    </x:row>
    <x:row r="13">
      <x:c r="A13" s="1" t="n">
        <x:v>45352</x:v>
      </x:c>
      <x:c r="B13" t="str">
        <x:v>2024-03</x:v>
      </x:c>
      <x:c r="C13" t="str">
        <x:v>Paid Ads</x:v>
      </x:c>
      <x:c r="D13" t="n">
        <x:v>278</x:v>
      </x:c>
      <x:c r="E13" t="n">
        <x:v>133</x:v>
      </x:c>
      <x:c r="F13" s="3" t="n">
        <x:v>0.4784172661870504</x:v>
      </x:c>
      <x:c r="G13" s="2" t="n">
        <x:v>17236</x:v>
      </x:c>
    </x:row>
    <x:row r="14">
      <x:c r="A14" s="1" t="n">
        <x:v>45352</x:v>
      </x:c>
      <x:c r="B14" t="str">
        <x:v>2024-03</x:v>
      </x:c>
      <x:c r="C14" t="str">
        <x:v>Referral</x:v>
      </x:c>
      <x:c r="D14" t="n">
        <x:v>204</x:v>
      </x:c>
      <x:c r="E14" t="n">
        <x:v>137</x:v>
      </x:c>
      <x:c r="F14" s="3" t="n">
        <x:v>0.6715686274509803</x:v>
      </x:c>
      <x:c r="G14" s="2" t="n">
        <x:v>2448</x:v>
      </x:c>
    </x:row>
    <x:row r="15">
      <x:c r="A15" s="1" t="n">
        <x:v>45352</x:v>
      </x:c>
      <x:c r="B15" t="str">
        <x:v>2024-03</x:v>
      </x:c>
      <x:c r="C15" t="str">
        <x:v>Events</x:v>
      </x:c>
      <x:c r="D15" t="n">
        <x:v>166</x:v>
      </x:c>
      <x:c r="E15" t="n">
        <x:v>91</x:v>
      </x:c>
      <x:c r="F15" s="3" t="n">
        <x:v>0.5481927710843374</x:v>
      </x:c>
      <x:c r="G15" s="2" t="n">
        <x:v>12284</x:v>
      </x:c>
    </x:row>
    <x:row r="16">
      <x:c r="A16" s="1" t="n">
        <x:v>45352</x:v>
      </x:c>
      <x:c r="B16" t="str">
        <x:v>2024-03</x:v>
      </x:c>
      <x:c r="C16" t="str">
        <x:v>Outbound</x:v>
      </x:c>
      <x:c r="D16" t="n">
        <x:v>172</x:v>
      </x:c>
      <x:c r="E16" t="n">
        <x:v>67</x:v>
      </x:c>
      <x:c r="F16" s="3" t="n">
        <x:v>0.38953488372093026</x:v>
      </x:c>
      <x:c r="G16" s="2" t="n">
        <x:v>7052</x:v>
      </x:c>
    </x:row>
    <x:row r="17">
      <x:c r="A17" s="1" t="n">
        <x:v>45383</x:v>
      </x:c>
      <x:c r="B17" t="str">
        <x:v>2024-04</x:v>
      </x:c>
      <x:c r="C17" t="str">
        <x:v>Organic Search</x:v>
      </x:c>
      <x:c r="D17" t="n">
        <x:v>329</x:v>
      </x:c>
      <x:c r="E17" t="n">
        <x:v>201</x:v>
      </x:c>
      <x:c r="F17" s="3" t="n">
        <x:v>0.6109422492401215</x:v>
      </x:c>
      <x:c r="G17" s="2" t="n">
        <x:v>5922</x:v>
      </x:c>
    </x:row>
    <x:row r="18">
      <x:c r="A18" s="1" t="n">
        <x:v>45383</x:v>
      </x:c>
      <x:c r="B18" t="str">
        <x:v>2024-04</x:v>
      </x:c>
      <x:c r="C18" t="str">
        <x:v>Paid Ads</x:v>
      </x:c>
      <x:c r="D18" t="n">
        <x:v>288</x:v>
      </x:c>
      <x:c r="E18" t="n">
        <x:v>138</x:v>
      </x:c>
      <x:c r="F18" s="3" t="n">
        <x:v>0.4791666666666667</x:v>
      </x:c>
      <x:c r="G18" s="2" t="n">
        <x:v>17856</x:v>
      </x:c>
    </x:row>
    <x:row r="19">
      <x:c r="A19" s="1" t="n">
        <x:v>45383</x:v>
      </x:c>
      <x:c r="B19" t="str">
        <x:v>2024-04</x:v>
      </x:c>
      <x:c r="C19" t="str">
        <x:v>Referral</x:v>
      </x:c>
      <x:c r="D19" t="n">
        <x:v>218</x:v>
      </x:c>
      <x:c r="E19" t="n">
        <x:v>146</x:v>
      </x:c>
      <x:c r="F19" s="3" t="n">
        <x:v>0.6697247706422018</x:v>
      </x:c>
      <x:c r="G19" s="2" t="n">
        <x:v>2616</x:v>
      </x:c>
    </x:row>
    <x:row r="20">
      <x:c r="A20" s="1" t="n">
        <x:v>45383</x:v>
      </x:c>
      <x:c r="B20" t="str">
        <x:v>2024-04</x:v>
      </x:c>
      <x:c r="C20" t="str">
        <x:v>Events</x:v>
      </x:c>
      <x:c r="D20" t="n">
        <x:v>175</x:v>
      </x:c>
      <x:c r="E20" t="n">
        <x:v>96</x:v>
      </x:c>
      <x:c r="F20" s="3" t="n">
        <x:v>0.5485714285714286</x:v>
      </x:c>
      <x:c r="G20" s="2" t="n">
        <x:v>12950</x:v>
      </x:c>
    </x:row>
    <x:row r="21">
      <x:c r="A21" s="1" t="n">
        <x:v>45383</x:v>
      </x:c>
      <x:c r="B21" t="str">
        <x:v>2024-04</x:v>
      </x:c>
      <x:c r="C21" t="str">
        <x:v>Outbound</x:v>
      </x:c>
      <x:c r="D21" t="n">
        <x:v>173</x:v>
      </x:c>
      <x:c r="E21" t="n">
        <x:v>67</x:v>
      </x:c>
      <x:c r="F21" s="3" t="n">
        <x:v>0.3872832369942196</x:v>
      </x:c>
      <x:c r="G21" s="2" t="n">
        <x:v>7093</x:v>
      </x:c>
    </x:row>
    <x:row r="22">
      <x:c r="A22" s="1" t="n">
        <x:v>45413</x:v>
      </x:c>
      <x:c r="B22" t="str">
        <x:v>2024-05</x:v>
      </x:c>
      <x:c r="C22" t="str">
        <x:v>Organic Search</x:v>
      </x:c>
      <x:c r="D22" t="n">
        <x:v>359</x:v>
      </x:c>
      <x:c r="E22" t="n">
        <x:v>219</x:v>
      </x:c>
      <x:c r="F22" s="3" t="n">
        <x:v>0.6100278551532033</x:v>
      </x:c>
      <x:c r="G22" s="2" t="n">
        <x:v>6462</x:v>
      </x:c>
    </x:row>
    <x:row r="23">
      <x:c r="A23" s="1" t="n">
        <x:v>45413</x:v>
      </x:c>
      <x:c r="B23" t="str">
        <x:v>2024-05</x:v>
      </x:c>
      <x:c r="C23" t="str">
        <x:v>Paid Ads</x:v>
      </x:c>
      <x:c r="D23" t="n">
        <x:v>325</x:v>
      </x:c>
      <x:c r="E23" t="n">
        <x:v>156</x:v>
      </x:c>
      <x:c r="F23" s="3" t="n">
        <x:v>0.48</x:v>
      </x:c>
      <x:c r="G23" s="2" t="n">
        <x:v>20150</x:v>
      </x:c>
    </x:row>
    <x:row r="24">
      <x:c r="A24" s="1" t="n">
        <x:v>45413</x:v>
      </x:c>
      <x:c r="B24" t="str">
        <x:v>2024-05</x:v>
      </x:c>
      <x:c r="C24" t="str">
        <x:v>Referral</x:v>
      </x:c>
      <x:c r="D24" t="n">
        <x:v>242</x:v>
      </x:c>
      <x:c r="E24" t="n">
        <x:v>162</x:v>
      </x:c>
      <x:c r="F24" s="3" t="n">
        <x:v>0.6694214876033058</x:v>
      </x:c>
      <x:c r="G24" s="2" t="n">
        <x:v>2904</x:v>
      </x:c>
    </x:row>
    <x:row r="25">
      <x:c r="A25" s="1" t="n">
        <x:v>45413</x:v>
      </x:c>
      <x:c r="B25" t="str">
        <x:v>2024-05</x:v>
      </x:c>
      <x:c r="C25" t="str">
        <x:v>Events</x:v>
      </x:c>
      <x:c r="D25" t="n">
        <x:v>186</x:v>
      </x:c>
      <x:c r="E25" t="n">
        <x:v>102</x:v>
      </x:c>
      <x:c r="F25" s="3" t="n">
        <x:v>0.5483870967741935</x:v>
      </x:c>
      <x:c r="G25" s="2" t="n">
        <x:v>13764</x:v>
      </x:c>
    </x:row>
    <x:row r="26">
      <x:c r="A26" s="1" t="n">
        <x:v>45413</x:v>
      </x:c>
      <x:c r="B26" t="str">
        <x:v>2024-05</x:v>
      </x:c>
      <x:c r="C26" t="str">
        <x:v>Outbound</x:v>
      </x:c>
      <x:c r="D26" t="n">
        <x:v>178</x:v>
      </x:c>
      <x:c r="E26" t="n">
        <x:v>69</x:v>
      </x:c>
      <x:c r="F26" s="3" t="n">
        <x:v>0.38764044943820225</x:v>
      </x:c>
      <x:c r="G26" s="2" t="n">
        <x:v>7298</x:v>
      </x:c>
    </x:row>
    <x:row r="27">
      <x:c r="A27" s="1" t="n">
        <x:v>45444</x:v>
      </x:c>
      <x:c r="B27" t="str">
        <x:v>2024-06</x:v>
      </x:c>
      <x:c r="C27" t="str">
        <x:v>Organic Search</x:v>
      </x:c>
      <x:c r="D27" t="n">
        <x:v>363</x:v>
      </x:c>
      <x:c r="E27" t="n">
        <x:v>221</x:v>
      </x:c>
      <x:c r="F27" s="3" t="n">
        <x:v>0.6088154269972452</x:v>
      </x:c>
      <x:c r="G27" s="2" t="n">
        <x:v>6534</x:v>
      </x:c>
    </x:row>
    <x:row r="28">
      <x:c r="A28" s="1" t="n">
        <x:v>45444</x:v>
      </x:c>
      <x:c r="B28" t="str">
        <x:v>2024-06</x:v>
      </x:c>
      <x:c r="C28" t="str">
        <x:v>Paid Ads</x:v>
      </x:c>
      <x:c r="D28" t="n">
        <x:v>323</x:v>
      </x:c>
      <x:c r="E28" t="n">
        <x:v>155</x:v>
      </x:c>
      <x:c r="F28" s="3" t="n">
        <x:v>0.47987616099071206</x:v>
      </x:c>
      <x:c r="G28" s="2" t="n">
        <x:v>20026</x:v>
      </x:c>
    </x:row>
    <x:row r="29">
      <x:c r="A29" s="1" t="n">
        <x:v>45444</x:v>
      </x:c>
      <x:c r="B29" t="str">
        <x:v>2024-06</x:v>
      </x:c>
      <x:c r="C29" t="str">
        <x:v>Referral</x:v>
      </x:c>
      <x:c r="D29" t="n">
        <x:v>230</x:v>
      </x:c>
      <x:c r="E29" t="n">
        <x:v>154</x:v>
      </x:c>
      <x:c r="F29" s="3" t="n">
        <x:v>0.6695652173913044</x:v>
      </x:c>
      <x:c r="G29" s="2" t="n">
        <x:v>2760</x:v>
      </x:c>
    </x:row>
    <x:row r="30">
      <x:c r="A30" s="1" t="n">
        <x:v>45444</x:v>
      </x:c>
      <x:c r="B30" t="str">
        <x:v>2024-06</x:v>
      </x:c>
      <x:c r="C30" t="str">
        <x:v>Events</x:v>
      </x:c>
      <x:c r="D30" t="n">
        <x:v>172</x:v>
      </x:c>
      <x:c r="E30" t="n">
        <x:v>95</x:v>
      </x:c>
      <x:c r="F30" s="3" t="n">
        <x:v>0.5523255813953488</x:v>
      </x:c>
      <x:c r="G30" s="2" t="n">
        <x:v>12728</x:v>
      </x:c>
    </x:row>
    <x:row r="31">
      <x:c r="A31" s="1" t="n">
        <x:v>45444</x:v>
      </x:c>
      <x:c r="B31" t="str">
        <x:v>2024-06</x:v>
      </x:c>
      <x:c r="C31" t="str">
        <x:v>Outbound</x:v>
      </x:c>
      <x:c r="D31" t="n">
        <x:v>165</x:v>
      </x:c>
      <x:c r="E31" t="n">
        <x:v>64</x:v>
      </x:c>
      <x:c r="F31" s="3" t="n">
        <x:v>0.3878787878787879</x:v>
      </x:c>
      <x:c r="G31" s="2" t="n">
        <x:v>6765</x:v>
      </x:c>
    </x:row>
    <x:row r="32">
      <x:c r="A32" s="1" t="n">
        <x:v>45474</x:v>
      </x:c>
      <x:c r="B32" t="str">
        <x:v>2024-07</x:v>
      </x:c>
      <x:c r="C32" t="str">
        <x:v>Organic Search</x:v>
      </x:c>
      <x:c r="D32" t="n">
        <x:v>336</x:v>
      </x:c>
      <x:c r="E32" t="n">
        <x:v>205</x:v>
      </x:c>
      <x:c r="F32" s="3" t="n">
        <x:v>0.6101190476190477</x:v>
      </x:c>
      <x:c r="G32" s="2" t="n">
        <x:v>6048</x:v>
      </x:c>
    </x:row>
    <x:row r="33">
      <x:c r="A33" s="1" t="n">
        <x:v>45474</x:v>
      </x:c>
      <x:c r="B33" t="str">
        <x:v>2024-07</x:v>
      </x:c>
      <x:c r="C33" t="str">
        <x:v>Paid Ads</x:v>
      </x:c>
      <x:c r="D33" t="n">
        <x:v>287</x:v>
      </x:c>
      <x:c r="E33" t="n">
        <x:v>138</x:v>
      </x:c>
      <x:c r="F33" s="3" t="n">
        <x:v>0.4808362369337979</x:v>
      </x:c>
      <x:c r="G33" s="2" t="n">
        <x:v>17794</x:v>
      </x:c>
    </x:row>
    <x:row r="34">
      <x:c r="A34" s="1" t="n">
        <x:v>45474</x:v>
      </x:c>
      <x:c r="B34" t="str">
        <x:v>2024-07</x:v>
      </x:c>
      <x:c r="C34" t="str">
        <x:v>Referral</x:v>
      </x:c>
      <x:c r="D34" t="n">
        <x:v>198</x:v>
      </x:c>
      <x:c r="E34" t="n">
        <x:v>133</x:v>
      </x:c>
      <x:c r="F34" s="3" t="n">
        <x:v>0.6717171717171717</x:v>
      </x:c>
      <x:c r="G34" s="2" t="n">
        <x:v>2376</x:v>
      </x:c>
    </x:row>
    <x:row r="35">
      <x:c r="A35" s="1" t="n">
        <x:v>45474</x:v>
      </x:c>
      <x:c r="B35" t="str">
        <x:v>2024-07</x:v>
      </x:c>
      <x:c r="C35" t="str">
        <x:v>Events</x:v>
      </x:c>
      <x:c r="D35" t="n">
        <x:v>148</x:v>
      </x:c>
      <x:c r="E35" t="n">
        <x:v>81</x:v>
      </x:c>
      <x:c r="F35" s="3" t="n">
        <x:v>0.5472972972972973</x:v>
      </x:c>
      <x:c r="G35" s="2" t="n">
        <x:v>10952</x:v>
      </x:c>
    </x:row>
    <x:row r="36">
      <x:c r="A36" s="1" t="n">
        <x:v>45474</x:v>
      </x:c>
      <x:c r="B36" t="str">
        <x:v>2024-07</x:v>
      </x:c>
      <x:c r="C36" t="str">
        <x:v>Outbound</x:v>
      </x:c>
      <x:c r="D36" t="n">
        <x:v>148</x:v>
      </x:c>
      <x:c r="E36" t="n">
        <x:v>58</x:v>
      </x:c>
      <x:c r="F36" s="3" t="n">
        <x:v>0.3918918918918919</x:v>
      </x:c>
      <x:c r="G36" s="2" t="n">
        <x:v>6068</x:v>
      </x:c>
    </x:row>
    <x:row r="37">
      <x:c r="A37" s="1" t="n">
        <x:v>45505</x:v>
      </x:c>
      <x:c r="B37" t="str">
        <x:v>2024-08</x:v>
      </x:c>
      <x:c r="C37" t="str">
        <x:v>Organic Search</x:v>
      </x:c>
      <x:c r="D37" t="n">
        <x:v>341</x:v>
      </x:c>
      <x:c r="E37" t="n">
        <x:v>208</x:v>
      </x:c>
      <x:c r="F37" s="3" t="n">
        <x:v>0.6099706744868035</x:v>
      </x:c>
      <x:c r="G37" s="2" t="n">
        <x:v>6138</x:v>
      </x:c>
    </x:row>
    <x:row r="38">
      <x:c r="A38" s="1" t="n">
        <x:v>45505</x:v>
      </x:c>
      <x:c r="B38" t="str">
        <x:v>2024-08</x:v>
      </x:c>
      <x:c r="C38" t="str">
        <x:v>Paid Ads</x:v>
      </x:c>
      <x:c r="D38" t="n">
        <x:v>281</x:v>
      </x:c>
      <x:c r="E38" t="n">
        <x:v>135</x:v>
      </x:c>
      <x:c r="F38" s="3" t="n">
        <x:v>0.4804270462633452</x:v>
      </x:c>
      <x:c r="G38" s="2" t="n">
        <x:v>17422</x:v>
      </x:c>
    </x:row>
    <x:row r="39">
      <x:c r="A39" s="1" t="n">
        <x:v>45505</x:v>
      </x:c>
      <x:c r="B39" t="str">
        <x:v>2024-08</x:v>
      </x:c>
      <x:c r="C39" t="str">
        <x:v>Referral</x:v>
      </x:c>
      <x:c r="D39" t="n">
        <x:v>195</x:v>
      </x:c>
      <x:c r="E39" t="n">
        <x:v>131</x:v>
      </x:c>
      <x:c r="F39" s="3" t="n">
        <x:v>0.6717948717948717</x:v>
      </x:c>
      <x:c r="G39" s="2" t="n">
        <x:v>2340</x:v>
      </x:c>
    </x:row>
    <x:row r="40">
      <x:c r="A40" s="1" t="n">
        <x:v>45505</x:v>
      </x:c>
      <x:c r="B40" t="str">
        <x:v>2024-08</x:v>
      </x:c>
      <x:c r="C40" t="str">
        <x:v>Events</x:v>
      </x:c>
      <x:c r="D40" t="n">
        <x:v>152</x:v>
      </x:c>
      <x:c r="E40" t="n">
        <x:v>84</x:v>
      </x:c>
      <x:c r="F40" s="3" t="n">
        <x:v>0.5526315789473685</x:v>
      </x:c>
      <x:c r="G40" s="2" t="n">
        <x:v>11248</x:v>
      </x:c>
    </x:row>
    <x:row r="41">
      <x:c r="A41" s="1" t="n">
        <x:v>45505</x:v>
      </x:c>
      <x:c r="B41" t="str">
        <x:v>2024-08</x:v>
      </x:c>
      <x:c r="C41" t="str">
        <x:v>Outbound</x:v>
      </x:c>
      <x:c r="D41" t="n">
        <x:v>159</x:v>
      </x:c>
      <x:c r="E41" t="n">
        <x:v>62</x:v>
      </x:c>
      <x:c r="F41" s="3" t="n">
        <x:v>0.389937106918239</x:v>
      </x:c>
      <x:c r="G41" s="2" t="n">
        <x:v>6519</x:v>
      </x:c>
    </x:row>
    <x:row r="42">
      <x:c r="A42" s="1" t="n">
        <x:v>45536</x:v>
      </x:c>
      <x:c r="B42" t="str">
        <x:v>2024-09</x:v>
      </x:c>
      <x:c r="C42" t="str">
        <x:v>Organic Search</x:v>
      </x:c>
      <x:c r="D42" t="n">
        <x:v>369</x:v>
      </x:c>
      <x:c r="E42" t="n">
        <x:v>225</x:v>
      </x:c>
      <x:c r="F42" s="3" t="n">
        <x:v>0.6097560975609756</x:v>
      </x:c>
      <x:c r="G42" s="2" t="n">
        <x:v>6642</x:v>
      </x:c>
    </x:row>
    <x:row r="43">
      <x:c r="A43" s="1" t="n">
        <x:v>45536</x:v>
      </x:c>
      <x:c r="B43" t="str">
        <x:v>2024-09</x:v>
      </x:c>
      <x:c r="C43" t="str">
        <x:v>Paid Ads</x:v>
      </x:c>
      <x:c r="D43" t="n">
        <x:v>306</x:v>
      </x:c>
      <x:c r="E43" t="n">
        <x:v>147</x:v>
      </x:c>
      <x:c r="F43" s="3" t="n">
        <x:v>0.4803921568627451</x:v>
      </x:c>
      <x:c r="G43" s="2" t="n">
        <x:v>18972</x:v>
      </x:c>
    </x:row>
    <x:row r="44">
      <x:c r="A44" s="1" t="n">
        <x:v>45536</x:v>
      </x:c>
      <x:c r="B44" t="str">
        <x:v>2024-09</x:v>
      </x:c>
      <x:c r="C44" t="str">
        <x:v>Referral</x:v>
      </x:c>
      <x:c r="D44" t="n">
        <x:v>221</x:v>
      </x:c>
      <x:c r="E44" t="n">
        <x:v>148</x:v>
      </x:c>
      <x:c r="F44" s="3" t="n">
        <x:v>0.669683257918552</x:v>
      </x:c>
      <x:c r="G44" s="2" t="n">
        <x:v>2652</x:v>
      </x:c>
    </x:row>
    <x:row r="45">
      <x:c r="A45" s="1" t="n">
        <x:v>45536</x:v>
      </x:c>
      <x:c r="B45" t="str">
        <x:v>2024-09</x:v>
      </x:c>
      <x:c r="C45" t="str">
        <x:v>Events</x:v>
      </x:c>
      <x:c r="D45" t="n">
        <x:v>180</x:v>
      </x:c>
      <x:c r="E45" t="n">
        <x:v>99</x:v>
      </x:c>
      <x:c r="F45" s="3" t="n">
        <x:v>0.55</x:v>
      </x:c>
      <x:c r="G45" s="2" t="n">
        <x:v>13320</x:v>
      </x:c>
    </x:row>
    <x:row r="46">
      <x:c r="A46" s="1" t="n">
        <x:v>45536</x:v>
      </x:c>
      <x:c r="B46" t="str">
        <x:v>2024-09</x:v>
      </x:c>
      <x:c r="C46" t="str">
        <x:v>Outbound</x:v>
      </x:c>
      <x:c r="D46" t="n">
        <x:v>187</x:v>
      </x:c>
      <x:c r="E46" t="n">
        <x:v>73</x:v>
      </x:c>
      <x:c r="F46" s="3" t="n">
        <x:v>0.39037433155080214</x:v>
      </x:c>
      <x:c r="G46" s="2" t="n">
        <x:v>7667</x:v>
      </x:c>
    </x:row>
    <x:row r="47">
      <x:c r="A47" s="1" t="n">
        <x:v>45566</x:v>
      </x:c>
      <x:c r="B47" t="str">
        <x:v>2024-10</x:v>
      </x:c>
      <x:c r="C47" t="str">
        <x:v>Organic Search</x:v>
      </x:c>
      <x:c r="D47" t="n">
        <x:v>367</x:v>
      </x:c>
      <x:c r="E47" t="n">
        <x:v>224</x:v>
      </x:c>
      <x:c r="F47" s="3" t="n">
        <x:v>0.6103542234332425</x:v>
      </x:c>
      <x:c r="G47" s="2" t="n">
        <x:v>6606</x:v>
      </x:c>
    </x:row>
    <x:row r="48">
      <x:c r="A48" s="1" t="n">
        <x:v>45566</x:v>
      </x:c>
      <x:c r="B48" t="str">
        <x:v>2024-10</x:v>
      </x:c>
      <x:c r="C48" t="str">
        <x:v>Paid Ads</x:v>
      </x:c>
      <x:c r="D48" t="n">
        <x:v>317</x:v>
      </x:c>
      <x:c r="E48" t="n">
        <x:v>152</x:v>
      </x:c>
      <x:c r="F48" s="3" t="n">
        <x:v>0.4794952681388013</x:v>
      </x:c>
      <x:c r="G48" s="2" t="n">
        <x:v>19654</x:v>
      </x:c>
    </x:row>
    <x:row r="49">
      <x:c r="A49" s="1" t="n">
        <x:v>45566</x:v>
      </x:c>
      <x:c r="B49" t="str">
        <x:v>2024-10</x:v>
      </x:c>
      <x:c r="C49" t="str">
        <x:v>Referral</x:v>
      </x:c>
      <x:c r="D49" t="n">
        <x:v>239</x:v>
      </x:c>
      <x:c r="E49" t="n">
        <x:v>160</x:v>
      </x:c>
      <x:c r="F49" s="3" t="n">
        <x:v>0.6694560669456067</x:v>
      </x:c>
      <x:c r="G49" s="2" t="n">
        <x:v>2868</x:v>
      </x:c>
    </x:row>
    <x:row r="50">
      <x:c r="A50" s="1" t="n">
        <x:v>45566</x:v>
      </x:c>
      <x:c r="B50" t="str">
        <x:v>2024-10</x:v>
      </x:c>
      <x:c r="C50" t="str">
        <x:v>Events</x:v>
      </x:c>
      <x:c r="D50" t="n">
        <x:v>193</x:v>
      </x:c>
      <x:c r="E50" t="n">
        <x:v>106</x:v>
      </x:c>
      <x:c r="F50" s="3" t="n">
        <x:v>0.5492227979274611</x:v>
      </x:c>
      <x:c r="G50" s="2" t="n">
        <x:v>14282</x:v>
      </x:c>
    </x:row>
    <x:row r="51">
      <x:c r="A51" s="1" t="n">
        <x:v>45566</x:v>
      </x:c>
      <x:c r="B51" t="str">
        <x:v>2024-10</x:v>
      </x:c>
      <x:c r="C51" t="str">
        <x:v>Outbound</x:v>
      </x:c>
      <x:c r="D51" t="n">
        <x:v>194</x:v>
      </x:c>
      <x:c r="E51" t="n">
        <x:v>76</x:v>
      </x:c>
      <x:c r="F51" s="3" t="n">
        <x:v>0.3917525773195876</x:v>
      </x:c>
      <x:c r="G51" s="2" t="n">
        <x:v>7954</x:v>
      </x:c>
    </x:row>
    <x:row r="52">
      <x:c r="A52" s="1" t="n">
        <x:v>45597</x:v>
      </x:c>
      <x:c r="B52" t="str">
        <x:v>2024-11</x:v>
      </x:c>
      <x:c r="C52" t="str">
        <x:v>Organic Search</x:v>
      </x:c>
      <x:c r="D52" t="n">
        <x:v>367</x:v>
      </x:c>
      <x:c r="E52" t="n">
        <x:v>224</x:v>
      </x:c>
      <x:c r="F52" s="3" t="n">
        <x:v>0.6103542234332425</x:v>
      </x:c>
      <x:c r="G52" s="2" t="n">
        <x:v>6606</x:v>
      </x:c>
    </x:row>
    <x:row r="53">
      <x:c r="A53" s="1" t="n">
        <x:v>45597</x:v>
      </x:c>
      <x:c r="B53" t="str">
        <x:v>2024-11</x:v>
      </x:c>
      <x:c r="C53" t="str">
        <x:v>Paid Ads</x:v>
      </x:c>
      <x:c r="D53" t="n">
        <x:v>330</x:v>
      </x:c>
      <x:c r="E53" t="n">
        <x:v>158</x:v>
      </x:c>
      <x:c r="F53" s="3" t="n">
        <x:v>0.47878787878787876</x:v>
      </x:c>
      <x:c r="G53" s="2" t="n">
        <x:v>20460</x:v>
      </x:c>
    </x:row>
    <x:row r="54">
      <x:c r="A54" s="1" t="n">
        <x:v>45597</x:v>
      </x:c>
      <x:c r="B54" t="str">
        <x:v>2024-11</x:v>
      </x:c>
      <x:c r="C54" t="str">
        <x:v>Referral</x:v>
      </x:c>
      <x:c r="D54" t="n">
        <x:v>248</x:v>
      </x:c>
      <x:c r="E54" t="n">
        <x:v>166</x:v>
      </x:c>
      <x:c r="F54" s="3" t="n">
        <x:v>0.6693548387096774</x:v>
      </x:c>
      <x:c r="G54" s="2" t="n">
        <x:v>2976</x:v>
      </x:c>
    </x:row>
    <x:row r="55">
      <x:c r="A55" s="1" t="n">
        <x:v>45597</x:v>
      </x:c>
      <x:c r="B55" t="str">
        <x:v>2024-11</x:v>
      </x:c>
      <x:c r="C55" t="str">
        <x:v>Events</x:v>
      </x:c>
      <x:c r="D55" t="n">
        <x:v>193</x:v>
      </x:c>
      <x:c r="E55" t="n">
        <x:v>106</x:v>
      </x:c>
      <x:c r="F55" s="3" t="n">
        <x:v>0.5492227979274611</x:v>
      </x:c>
      <x:c r="G55" s="2" t="n">
        <x:v>14282</x:v>
      </x:c>
    </x:row>
    <x:row r="56">
      <x:c r="A56" s="1" t="n">
        <x:v>45597</x:v>
      </x:c>
      <x:c r="B56" t="str">
        <x:v>2024-11</x:v>
      </x:c>
      <x:c r="C56" t="str">
        <x:v>Outbound</x:v>
      </x:c>
      <x:c r="D56" t="n">
        <x:v>186</x:v>
      </x:c>
      <x:c r="E56" t="n">
        <x:v>73</x:v>
      </x:c>
      <x:c r="F56" s="3" t="n">
        <x:v>0.3924731182795699</x:v>
      </x:c>
      <x:c r="G56" s="2" t="n">
        <x:v>7626</x:v>
      </x:c>
    </x:row>
    <x:row r="57">
      <x:c r="A57" s="1" t="n">
        <x:v>45627</x:v>
      </x:c>
      <x:c r="B57" t="str">
        <x:v>2024-12</x:v>
      </x:c>
      <x:c r="C57" t="str">
        <x:v>Organic Search</x:v>
      </x:c>
      <x:c r="D57" t="n">
        <x:v>409</x:v>
      </x:c>
      <x:c r="E57" t="n">
        <x:v>249</x:v>
      </x:c>
      <x:c r="F57" s="3" t="n">
        <x:v>0.60880195599022</x:v>
      </x:c>
      <x:c r="G57" s="2" t="n">
        <x:v>7362</x:v>
      </x:c>
    </x:row>
    <x:row r="58">
      <x:c r="A58" s="1" t="n">
        <x:v>45627</x:v>
      </x:c>
      <x:c r="B58" t="str">
        <x:v>2024-12</x:v>
      </x:c>
      <x:c r="C58" t="str">
        <x:v>Paid Ads</x:v>
      </x:c>
      <x:c r="D58" t="n">
        <x:v>367</x:v>
      </x:c>
      <x:c r="E58" t="n">
        <x:v>176</x:v>
      </x:c>
      <x:c r="F58" s="3" t="n">
        <x:v>0.47956403269754766</x:v>
      </x:c>
      <x:c r="G58" s="2" t="n">
        <x:v>22754</x:v>
      </x:c>
    </x:row>
    <x:row r="59">
      <x:c r="A59" s="1" t="n">
        <x:v>45627</x:v>
      </x:c>
      <x:c r="B59" t="str">
        <x:v>2024-12</x:v>
      </x:c>
      <x:c r="C59" t="str">
        <x:v>Referral</x:v>
      </x:c>
      <x:c r="D59" t="n">
        <x:v>265</x:v>
      </x:c>
      <x:c r="E59" t="n">
        <x:v>178</x:v>
      </x:c>
      <x:c r="F59" s="3" t="n">
        <x:v>0.6716981132075471</x:v>
      </x:c>
      <x:c r="G59" s="2" t="n">
        <x:v>3180</x:v>
      </x:c>
    </x:row>
    <x:row r="60">
      <x:c r="A60" s="1" t="n">
        <x:v>45627</x:v>
      </x:c>
      <x:c r="B60" t="str">
        <x:v>2024-12</x:v>
      </x:c>
      <x:c r="C60" t="str">
        <x:v>Events</x:v>
      </x:c>
      <x:c r="D60" t="n">
        <x:v>199</x:v>
      </x:c>
      <x:c r="E60" t="n">
        <x:v>109</x:v>
      </x:c>
      <x:c r="F60" s="3" t="n">
        <x:v>0.5477386934673367</x:v>
      </x:c>
      <x:c r="G60" s="2" t="n">
        <x:v>14726</x:v>
      </x:c>
    </x:row>
    <x:row r="61">
      <x:c r="A61" s="1" t="n">
        <x:v>45627</x:v>
      </x:c>
      <x:c r="B61" t="str">
        <x:v>2024-12</x:v>
      </x:c>
      <x:c r="C61" t="str">
        <x:v>Outbound</x:v>
      </x:c>
      <x:c r="D61" t="n">
        <x:v>190</x:v>
      </x:c>
      <x:c r="E61" t="n">
        <x:v>74</x:v>
      </x:c>
      <x:c r="F61" s="3" t="n">
        <x:v>0.3894736842105263</x:v>
      </x:c>
      <x:c r="G61" s="2" t="n">
        <x:v>7790</x:v>
      </x:c>
    </x:row>
    <x:row r="62">
      <x:c r="A62" s="1" t="n">
        <x:v>45658</x:v>
      </x:c>
      <x:c r="B62" t="str">
        <x:v>2025-01</x:v>
      </x:c>
      <x:c r="C62" t="str">
        <x:v>Organic Search</x:v>
      </x:c>
      <x:c r="D62" t="n">
        <x:v>375</x:v>
      </x:c>
      <x:c r="E62" t="n">
        <x:v>229</x:v>
      </x:c>
      <x:c r="F62" s="3" t="n">
        <x:v>0.6106666666666667</x:v>
      </x:c>
      <x:c r="G62" s="2" t="n">
        <x:v>6986</x:v>
      </x:c>
    </x:row>
    <x:row r="63">
      <x:c r="A63" s="1" t="n">
        <x:v>45658</x:v>
      </x:c>
      <x:c r="B63" t="str">
        <x:v>2025-01</x:v>
      </x:c>
      <x:c r="C63" t="str">
        <x:v>Paid Ads</x:v>
      </x:c>
      <x:c r="D63" t="n">
        <x:v>324</x:v>
      </x:c>
      <x:c r="E63" t="n">
        <x:v>156</x:v>
      </x:c>
      <x:c r="F63" s="3" t="n">
        <x:v>0.48148148148148145</x:v>
      </x:c>
      <x:c r="G63" s="2" t="n">
        <x:v>20791</x:v>
      </x:c>
    </x:row>
    <x:row r="64">
      <x:c r="A64" s="1" t="n">
        <x:v>45658</x:v>
      </x:c>
      <x:c r="B64" t="str">
        <x:v>2025-01</x:v>
      </x:c>
      <x:c r="C64" t="str">
        <x:v>Referral</x:v>
      </x:c>
      <x:c r="D64" t="n">
        <x:v>225</x:v>
      </x:c>
      <x:c r="E64" t="n">
        <x:v>151</x:v>
      </x:c>
      <x:c r="F64" s="3" t="n">
        <x:v>0.6711111111111111</x:v>
      </x:c>
      <x:c r="G64" s="2" t="n">
        <x:v>2794</x:v>
      </x:c>
    </x:row>
    <x:row r="65">
      <x:c r="A65" s="1" t="n">
        <x:v>45658</x:v>
      </x:c>
      <x:c r="B65" t="str">
        <x:v>2025-01</x:v>
      </x:c>
      <x:c r="C65" t="str">
        <x:v>Events</x:v>
      </x:c>
      <x:c r="D65" t="n">
        <x:v>167</x:v>
      </x:c>
      <x:c r="E65" t="n">
        <x:v>92</x:v>
      </x:c>
      <x:c r="F65" s="3" t="n">
        <x:v>0.5508982035928144</x:v>
      </x:c>
      <x:c r="G65" s="2" t="n">
        <x:v>12791</x:v>
      </x:c>
    </x:row>
    <x:row r="66">
      <x:c r="A66" s="1" t="n">
        <x:v>45658</x:v>
      </x:c>
      <x:c r="B66" t="str">
        <x:v>2025-01</x:v>
      </x:c>
      <x:c r="C66" t="str">
        <x:v>Outbound</x:v>
      </x:c>
      <x:c r="D66" t="n">
        <x:v>165</x:v>
      </x:c>
      <x:c r="E66" t="n">
        <x:v>64</x:v>
      </x:c>
      <x:c r="F66" s="3" t="n">
        <x:v>0.3878787878787879</x:v>
      </x:c>
      <x:c r="G66" s="2" t="n">
        <x:v>7002</x:v>
      </x:c>
    </x:row>
    <x:row r="67">
      <x:c r="A67" s="1" t="n">
        <x:v>45689</x:v>
      </x:c>
      <x:c r="B67" t="str">
        <x:v>2025-02</x:v>
      </x:c>
      <x:c r="C67" t="str">
        <x:v>Organic Search</x:v>
      </x:c>
      <x:c r="D67" t="n">
        <x:v>375</x:v>
      </x:c>
      <x:c r="E67" t="n">
        <x:v>229</x:v>
      </x:c>
      <x:c r="F67" s="3" t="n">
        <x:v>0.6106666666666667</x:v>
      </x:c>
      <x:c r="G67" s="2" t="n">
        <x:v>6986</x:v>
      </x:c>
    </x:row>
    <x:row r="68">
      <x:c r="A68" s="1" t="n">
        <x:v>45689</x:v>
      </x:c>
      <x:c r="B68" t="str">
        <x:v>2025-02</x:v>
      </x:c>
      <x:c r="C68" t="str">
        <x:v>Paid Ads</x:v>
      </x:c>
      <x:c r="D68" t="n">
        <x:v>312</x:v>
      </x:c>
      <x:c r="E68" t="n">
        <x:v>150</x:v>
      </x:c>
      <x:c r="F68" s="3" t="n">
        <x:v>0.4807692307692308</x:v>
      </x:c>
      <x:c r="G68" s="2" t="n">
        <x:v>20021</x:v>
      </x:c>
    </x:row>
    <x:row r="69">
      <x:c r="A69" s="1" t="n">
        <x:v>45689</x:v>
      </x:c>
      <x:c r="B69" t="str">
        <x:v>2025-02</x:v>
      </x:c>
      <x:c r="C69" t="str">
        <x:v>Referral</x:v>
      </x:c>
      <x:c r="D69" t="n">
        <x:v>214</x:v>
      </x:c>
      <x:c r="E69" t="n">
        <x:v>143</x:v>
      </x:c>
      <x:c r="F69" s="3" t="n">
        <x:v>0.6682242990654206</x:v>
      </x:c>
      <x:c r="G69" s="2" t="n">
        <x:v>2658</x:v>
      </x:c>
    </x:row>
    <x:row r="70">
      <x:c r="A70" s="1" t="n">
        <x:v>45689</x:v>
      </x:c>
      <x:c r="B70" t="str">
        <x:v>2025-02</x:v>
      </x:c>
      <x:c r="C70" t="str">
        <x:v>Events</x:v>
      </x:c>
      <x:c r="D70" t="n">
        <x:v>165</x:v>
      </x:c>
      <x:c r="E70" t="n">
        <x:v>91</x:v>
      </x:c>
      <x:c r="F70" s="3" t="n">
        <x:v>0.5515151515151515</x:v>
      </x:c>
      <x:c r="G70" s="2" t="n">
        <x:v>12637</x:v>
      </x:c>
    </x:row>
    <x:row r="71">
      <x:c r="A71" s="1" t="n">
        <x:v>45689</x:v>
      </x:c>
      <x:c r="B71" t="str">
        <x:v>2025-02</x:v>
      </x:c>
      <x:c r="C71" t="str">
        <x:v>Outbound</x:v>
      </x:c>
      <x:c r="D71" t="n">
        <x:v>171</x:v>
      </x:c>
      <x:c r="E71" t="n">
        <x:v>67</x:v>
      </x:c>
      <x:c r="F71" s="3" t="n">
        <x:v>0.391812865497076</x:v>
      </x:c>
      <x:c r="G71" s="2" t="n">
        <x:v>7256</x:v>
      </x:c>
    </x:row>
    <x:row r="72">
      <x:c r="A72" s="1" t="n">
        <x:v>45717</x:v>
      </x:c>
      <x:c r="B72" t="str">
        <x:v>2025-03</x:v>
      </x:c>
      <x:c r="C72" t="str">
        <x:v>Organic Search</x:v>
      </x:c>
      <x:c r="D72" t="n">
        <x:v>375</x:v>
      </x:c>
      <x:c r="E72" t="n">
        <x:v>229</x:v>
      </x:c>
      <x:c r="F72" s="3" t="n">
        <x:v>0.6106666666666667</x:v>
      </x:c>
      <x:c r="G72" s="2" t="n">
        <x:v>6986</x:v>
      </x:c>
    </x:row>
    <x:row r="73">
      <x:c r="A73" s="1" t="n">
        <x:v>45717</x:v>
      </x:c>
      <x:c r="B73" t="str">
        <x:v>2025-03</x:v>
      </x:c>
      <x:c r="C73" t="str">
        <x:v>Paid Ads</x:v>
      </x:c>
      <x:c r="D73" t="n">
        <x:v>309</x:v>
      </x:c>
      <x:c r="E73" t="n">
        <x:v>148</x:v>
      </x:c>
      <x:c r="F73" s="3" t="n">
        <x:v>0.47896440129449835</x:v>
      </x:c>
      <x:c r="G73" s="2" t="n">
        <x:v>19829</x:v>
      </x:c>
    </x:row>
    <x:row r="74">
      <x:c r="A74" s="1" t="n">
        <x:v>45717</x:v>
      </x:c>
      <x:c r="B74" t="str">
        <x:v>2025-03</x:v>
      </x:c>
      <x:c r="C74" t="str">
        <x:v>Referral</x:v>
      </x:c>
      <x:c r="D74" t="n">
        <x:v>220</x:v>
      </x:c>
      <x:c r="E74" t="n">
        <x:v>147</x:v>
      </x:c>
      <x:c r="F74" s="3" t="n">
        <x:v>0.6681818181818182</x:v>
      </x:c>
      <x:c r="G74" s="2" t="n">
        <x:v>2732</x:v>
      </x:c>
    </x:row>
    <x:row r="75">
      <x:c r="A75" s="1" t="n">
        <x:v>45717</x:v>
      </x:c>
      <x:c r="B75" t="str">
        <x:v>2025-03</x:v>
      </x:c>
      <x:c r="C75" t="str">
        <x:v>Events</x:v>
      </x:c>
      <x:c r="D75" t="n">
        <x:v>177</x:v>
      </x:c>
      <x:c r="E75" t="n">
        <x:v>97</x:v>
      </x:c>
      <x:c r="F75" s="3" t="n">
        <x:v>0.5480225988700564</x:v>
      </x:c>
      <x:c r="G75" s="2" t="n">
        <x:v>13556</x:v>
      </x:c>
    </x:row>
    <x:row r="76">
      <x:c r="A76" s="1" t="n">
        <x:v>45717</x:v>
      </x:c>
      <x:c r="B76" t="str">
        <x:v>2025-03</x:v>
      </x:c>
      <x:c r="C76" t="str">
        <x:v>Outbound</x:v>
      </x:c>
      <x:c r="D76" t="n">
        <x:v>186</x:v>
      </x:c>
      <x:c r="E76" t="n">
        <x:v>73</x:v>
      </x:c>
      <x:c r="F76" s="3" t="n">
        <x:v>0.3924731182795699</x:v>
      </x:c>
      <x:c r="G76" s="2" t="n">
        <x:v>7893</x:v>
      </x:c>
    </x:row>
    <x:row r="77">
      <x:c r="A77" s="1" t="n">
        <x:v>45748</x:v>
      </x:c>
      <x:c r="B77" t="str">
        <x:v>2025-04</x:v>
      </x:c>
      <x:c r="C77" t="str">
        <x:v>Organic Search</x:v>
      </x:c>
      <x:c r="D77" t="n">
        <x:v>387</x:v>
      </x:c>
      <x:c r="E77" t="n">
        <x:v>236</x:v>
      </x:c>
      <x:c r="F77" s="3" t="n">
        <x:v>0.6098191214470284</x:v>
      </x:c>
      <x:c r="G77" s="2" t="n">
        <x:v>7210</x:v>
      </x:c>
    </x:row>
    <x:row r="78">
      <x:c r="A78" s="1" t="n">
        <x:v>45748</x:v>
      </x:c>
      <x:c r="B78" t="str">
        <x:v>2025-04</x:v>
      </x:c>
      <x:c r="C78" t="str">
        <x:v>Paid Ads</x:v>
      </x:c>
      <x:c r="D78" t="n">
        <x:v>330</x:v>
      </x:c>
      <x:c r="E78" t="n">
        <x:v>158</x:v>
      </x:c>
      <x:c r="F78" s="3" t="n">
        <x:v>0.47878787878787876</x:v>
      </x:c>
      <x:c r="G78" s="2" t="n">
        <x:v>21176</x:v>
      </x:c>
    </x:row>
    <x:row r="79">
      <x:c r="A79" s="1" t="n">
        <x:v>45748</x:v>
      </x:c>
      <x:c r="B79" t="str">
        <x:v>2025-04</x:v>
      </x:c>
      <x:c r="C79" t="str">
        <x:v>Referral</x:v>
      </x:c>
      <x:c r="D79" t="n">
        <x:v>246</x:v>
      </x:c>
      <x:c r="E79" t="n">
        <x:v>165</x:v>
      </x:c>
      <x:c r="F79" s="3" t="n">
        <x:v>0.6707317073170732</x:v>
      </x:c>
      <x:c r="G79" s="2" t="n">
        <x:v>3055</x:v>
      </x:c>
    </x:row>
    <x:row r="80">
      <x:c r="A80" s="1" t="n">
        <x:v>45748</x:v>
      </x:c>
      <x:c r="B80" t="str">
        <x:v>2025-04</x:v>
      </x:c>
      <x:c r="C80" t="str">
        <x:v>Events</x:v>
      </x:c>
      <x:c r="D80" t="n">
        <x:v>201</x:v>
      </x:c>
      <x:c r="E80" t="n">
        <x:v>111</x:v>
      </x:c>
      <x:c r="F80" s="3" t="n">
        <x:v>0.5522388059701493</x:v>
      </x:c>
      <x:c r="G80" s="2" t="n">
        <x:v>15395</x:v>
      </x:c>
    </x:row>
    <x:row r="81">
      <x:c r="A81" s="1" t="n">
        <x:v>45748</x:v>
      </x:c>
      <x:c r="B81" t="str">
        <x:v>2025-04</x:v>
      </x:c>
      <x:c r="C81" t="str">
        <x:v>Outbound</x:v>
      </x:c>
      <x:c r="D81" t="n">
        <x:v>204</x:v>
      </x:c>
      <x:c r="E81" t="n">
        <x:v>80</x:v>
      </x:c>
      <x:c r="F81" s="3" t="n">
        <x:v>0.39215686274509803</x:v>
      </x:c>
      <x:c r="G81" s="2" t="n">
        <x:v>8657</x:v>
      </x:c>
    </x:row>
    <x:row r="82">
      <x:c r="A82" s="1" t="n">
        <x:v>45778</x:v>
      </x:c>
      <x:c r="B82" t="str">
        <x:v>2025-05</x:v>
      </x:c>
      <x:c r="C82" t="str">
        <x:v>Organic Search</x:v>
      </x:c>
      <x:c r="D82" t="n">
        <x:v>400</x:v>
      </x:c>
      <x:c r="E82" t="n">
        <x:v>244</x:v>
      </x:c>
      <x:c r="F82" s="3" t="n">
        <x:v>0.61</x:v>
      </x:c>
      <x:c r="G82" s="2" t="n">
        <x:v>7452</x:v>
      </x:c>
    </x:row>
    <x:row r="83">
      <x:c r="A83" s="1" t="n">
        <x:v>45778</x:v>
      </x:c>
      <x:c r="B83" t="str">
        <x:v>2025-05</x:v>
      </x:c>
      <x:c r="C83" t="str">
        <x:v>Paid Ads</x:v>
      </x:c>
      <x:c r="D83" t="n">
        <x:v>357</x:v>
      </x:c>
      <x:c r="E83" t="n">
        <x:v>171</x:v>
      </x:c>
      <x:c r="F83" s="3" t="n">
        <x:v>0.4789915966386555</x:v>
      </x:c>
      <x:c r="G83" s="2" t="n">
        <x:v>22909</x:v>
      </x:c>
    </x:row>
    <x:row r="84">
      <x:c r="A84" s="1" t="n">
        <x:v>45778</x:v>
      </x:c>
      <x:c r="B84" t="str">
        <x:v>2025-05</x:v>
      </x:c>
      <x:c r="C84" t="str">
        <x:v>Referral</x:v>
      </x:c>
      <x:c r="D84" t="n">
        <x:v>269</x:v>
      </x:c>
      <x:c r="E84" t="n">
        <x:v>180</x:v>
      </x:c>
      <x:c r="F84" s="3" t="n">
        <x:v>0.6691449814126395</x:v>
      </x:c>
      <x:c r="G84" s="2" t="n">
        <x:v>3341</x:v>
      </x:c>
    </x:row>
    <x:row r="85">
      <x:c r="A85" s="1" t="n">
        <x:v>45778</x:v>
      </x:c>
      <x:c r="B85" t="str">
        <x:v>2025-05</x:v>
      </x:c>
      <x:c r="C85" t="str">
        <x:v>Events</x:v>
      </x:c>
      <x:c r="D85" t="n">
        <x:v>213</x:v>
      </x:c>
      <x:c r="E85" t="n">
        <x:v>117</x:v>
      </x:c>
      <x:c r="F85" s="3" t="n">
        <x:v>0.5492957746478874</x:v>
      </x:c>
      <x:c r="G85" s="2" t="n">
        <x:v>16314</x:v>
      </x:c>
    </x:row>
    <x:row r="86">
      <x:c r="A86" s="1" t="n">
        <x:v>45778</x:v>
      </x:c>
      <x:c r="B86" t="str">
        <x:v>2025-05</x:v>
      </x:c>
      <x:c r="C86" t="str">
        <x:v>Outbound</x:v>
      </x:c>
      <x:c r="D86" t="n">
        <x:v>207</x:v>
      </x:c>
      <x:c r="E86" t="n">
        <x:v>81</x:v>
      </x:c>
      <x:c r="F86" s="3" t="n">
        <x:v>0.391304347826087</x:v>
      </x:c>
      <x:c r="G86" s="2" t="n">
        <x:v>8784</x:v>
      </x:c>
    </x:row>
    <x:row r="87">
      <x:c r="A87" s="1" t="n">
        <x:v>45809</x:v>
      </x:c>
      <x:c r="B87" t="str">
        <x:v>2025-06</x:v>
      </x:c>
      <x:c r="C87" t="str">
        <x:v>Organic Search</x:v>
      </x:c>
      <x:c r="D87" t="n">
        <x:v>379</x:v>
      </x:c>
      <x:c r="E87" t="n">
        <x:v>231</x:v>
      </x:c>
      <x:c r="F87" s="3" t="n">
        <x:v>0.6094986807387863</x:v>
      </x:c>
      <x:c r="G87" s="2" t="n">
        <x:v>7061</x:v>
      </x:c>
    </x:row>
    <x:row r="88">
      <x:c r="A88" s="1" t="n">
        <x:v>45809</x:v>
      </x:c>
      <x:c r="B88" t="str">
        <x:v>2025-06</x:v>
      </x:c>
      <x:c r="C88" t="str">
        <x:v>Paid Ads</x:v>
      </x:c>
      <x:c r="D88" t="n">
        <x:v>342</x:v>
      </x:c>
      <x:c r="E88" t="n">
        <x:v>164</x:v>
      </x:c>
      <x:c r="F88" s="3" t="n">
        <x:v>0.47953216374269003</x:v>
      </x:c>
      <x:c r="G88" s="2" t="n">
        <x:v>21946</x:v>
      </x:c>
    </x:row>
    <x:row r="89">
      <x:c r="A89" s="1" t="n">
        <x:v>45809</x:v>
      </x:c>
      <x:c r="B89" t="str">
        <x:v>2025-06</x:v>
      </x:c>
      <x:c r="C89" t="str">
        <x:v>Referral</x:v>
      </x:c>
      <x:c r="D89" t="n">
        <x:v>250</x:v>
      </x:c>
      <x:c r="E89" t="n">
        <x:v>168</x:v>
      </x:c>
      <x:c r="F89" s="3" t="n">
        <x:v>0.672</x:v>
      </x:c>
      <x:c r="G89" s="2" t="n">
        <x:v>3105</x:v>
      </x:c>
    </x:row>
    <x:row r="90">
      <x:c r="A90" s="1" t="n">
        <x:v>45809</x:v>
      </x:c>
      <x:c r="B90" t="str">
        <x:v>2025-06</x:v>
      </x:c>
      <x:c r="C90" t="str">
        <x:v>Events</x:v>
      </x:c>
      <x:c r="D90" t="n">
        <x:v>189</x:v>
      </x:c>
      <x:c r="E90" t="n">
        <x:v>104</x:v>
      </x:c>
      <x:c r="F90" s="3" t="n">
        <x:v>0.5502645502645502</x:v>
      </x:c>
      <x:c r="G90" s="2" t="n">
        <x:v>14476</x:v>
      </x:c>
    </x:row>
    <x:row r="91">
      <x:c r="A91" s="1" t="n">
        <x:v>45809</x:v>
      </x:c>
      <x:c r="B91" t="str">
        <x:v>2025-06</x:v>
      </x:c>
      <x:c r="C91" t="str">
        <x:v>Outbound</x:v>
      </x:c>
      <x:c r="D91" t="n">
        <x:v>181</x:v>
      </x:c>
      <x:c r="E91" t="n">
        <x:v>71</x:v>
      </x:c>
      <x:c r="F91" s="3" t="n">
        <x:v>0.39226519337016574</x:v>
      </x:c>
      <x:c r="G91" s="2" t="n">
        <x:v>7681</x:v>
      </x:c>
    </x:row>
    <x:row r="92">
      <x:c r="A92" s="1" t="n">
        <x:v>45839</x:v>
      </x:c>
      <x:c r="B92" t="str">
        <x:v>2025-07</x:v>
      </x:c>
      <x:c r="C92" t="str">
        <x:v>Organic Search</x:v>
      </x:c>
      <x:c r="D92" t="n">
        <x:v>372</x:v>
      </x:c>
      <x:c r="E92" t="n">
        <x:v>227</x:v>
      </x:c>
      <x:c r="F92" s="3" t="n">
        <x:v>0.6102150537634409</x:v>
      </x:c>
      <x:c r="G92" s="2" t="n">
        <x:v>6930</x:v>
      </x:c>
    </x:row>
    <x:row r="93">
      <x:c r="A93" s="1" t="n">
        <x:v>45839</x:v>
      </x:c>
      <x:c r="B93" t="str">
        <x:v>2025-07</x:v>
      </x:c>
      <x:c r="C93" t="str">
        <x:v>Paid Ads</x:v>
      </x:c>
      <x:c r="D93" t="n">
        <x:v>326</x:v>
      </x:c>
      <x:c r="E93" t="n">
        <x:v>156</x:v>
      </x:c>
      <x:c r="F93" s="3" t="n">
        <x:v>0.4785276073619632</x:v>
      </x:c>
      <x:c r="G93" s="2" t="n">
        <x:v>20919</x:v>
      </x:c>
    </x:row>
    <x:row r="94">
      <x:c r="A94" s="1" t="n">
        <x:v>45839</x:v>
      </x:c>
      <x:c r="B94" t="str">
        <x:v>2025-07</x:v>
      </x:c>
      <x:c r="C94" t="str">
        <x:v>Referral</x:v>
      </x:c>
      <x:c r="D94" t="n">
        <x:v>228</x:v>
      </x:c>
      <x:c r="E94" t="n">
        <x:v>153</x:v>
      </x:c>
      <x:c r="F94" s="3" t="n">
        <x:v>0.6710526315789473</x:v>
      </x:c>
      <x:c r="G94" s="2" t="n">
        <x:v>2832</x:v>
      </x:c>
    </x:row>
    <x:row r="95">
      <x:c r="A95" s="1" t="n">
        <x:v>45839</x:v>
      </x:c>
      <x:c r="B95" t="str">
        <x:v>2025-07</x:v>
      </x:c>
      <x:c r="C95" t="str">
        <x:v>Events</x:v>
      </x:c>
      <x:c r="D95" t="n">
        <x:v>169</x:v>
      </x:c>
      <x:c r="E95" t="n">
        <x:v>93</x:v>
      </x:c>
      <x:c r="F95" s="3" t="n">
        <x:v>0.5502958579881657</x:v>
      </x:c>
      <x:c r="G95" s="2" t="n">
        <x:v>12944</x:v>
      </x:c>
    </x:row>
    <x:row r="96">
      <x:c r="A96" s="1" t="n">
        <x:v>45839</x:v>
      </x:c>
      <x:c r="B96" t="str">
        <x:v>2025-07</x:v>
      </x:c>
      <x:c r="C96" t="str">
        <x:v>Outbound</x:v>
      </x:c>
      <x:c r="D96" t="n">
        <x:v>165</x:v>
      </x:c>
      <x:c r="E96" t="n">
        <x:v>64</x:v>
      </x:c>
      <x:c r="F96" s="3" t="n">
        <x:v>0.3878787878787879</x:v>
      </x:c>
      <x:c r="G96" s="2" t="n">
        <x:v>7002</x:v>
      </x:c>
    </x:row>
    <x:row r="97">
      <x:c r="A97" s="1" t="n">
        <x:v>45870</x:v>
      </x:c>
      <x:c r="B97" t="str">
        <x:v>2025-08</x:v>
      </x:c>
      <x:c r="C97" t="str">
        <x:v>Organic Search</x:v>
      </x:c>
      <x:c r="D97" t="n">
        <x:v>403</x:v>
      </x:c>
      <x:c r="E97" t="n">
        <x:v>246</x:v>
      </x:c>
      <x:c r="F97" s="3" t="n">
        <x:v>0.6104218362282878</x:v>
      </x:c>
      <x:c r="G97" s="2" t="n">
        <x:v>7508</x:v>
      </x:c>
    </x:row>
    <x:row r="98">
      <x:c r="A98" s="1" t="n">
        <x:v>45870</x:v>
      </x:c>
      <x:c r="B98" t="str">
        <x:v>2025-08</x:v>
      </x:c>
      <x:c r="C98" t="str">
        <x:v>Paid Ads</x:v>
      </x:c>
      <x:c r="D98" t="n">
        <x:v>338</x:v>
      </x:c>
      <x:c r="E98" t="n">
        <x:v>162</x:v>
      </x:c>
      <x:c r="F98" s="3" t="n">
        <x:v>0.47928994082840237</x:v>
      </x:c>
      <x:c r="G98" s="2" t="n">
        <x:v>21689</x:v>
      </x:c>
    </x:row>
    <x:row r="99">
      <x:c r="A99" s="1" t="n">
        <x:v>45870</x:v>
      </x:c>
      <x:c r="B99" t="str">
        <x:v>2025-08</x:v>
      </x:c>
      <x:c r="C99" t="str">
        <x:v>Referral</x:v>
      </x:c>
      <x:c r="D99" t="n">
        <x:v>232</x:v>
      </x:c>
      <x:c r="E99" t="n">
        <x:v>155</x:v>
      </x:c>
      <x:c r="F99" s="3" t="n">
        <x:v>0.6681034482758621</x:v>
      </x:c>
      <x:c r="G99" s="2" t="n">
        <x:v>2881</x:v>
      </x:c>
    </x:row>
    <x:row r="100">
      <x:c r="A100" s="1" t="n">
        <x:v>45870</x:v>
      </x:c>
      <x:c r="B100" t="str">
        <x:v>2025-08</x:v>
      </x:c>
      <x:c r="C100" t="str">
        <x:v>Events</x:v>
      </x:c>
      <x:c r="D100" t="n">
        <x:v>176</x:v>
      </x:c>
      <x:c r="E100" t="n">
        <x:v>97</x:v>
      </x:c>
      <x:c r="F100" s="3" t="n">
        <x:v>0.5511363636363636</x:v>
      </x:c>
      <x:c r="G100" s="2" t="n">
        <x:v>13480</x:v>
      </x:c>
    </x:row>
    <x:row r="101">
      <x:c r="A101" s="1" t="n">
        <x:v>45870</x:v>
      </x:c>
      <x:c r="B101" t="str">
        <x:v>2025-08</x:v>
      </x:c>
      <x:c r="C101" t="str">
        <x:v>Outbound</x:v>
      </x:c>
      <x:c r="D101" t="n">
        <x:v>181</x:v>
      </x:c>
      <x:c r="E101" t="n">
        <x:v>71</x:v>
      </x:c>
      <x:c r="F101" s="3" t="n">
        <x:v>0.39226519337016574</x:v>
      </x:c>
      <x:c r="G101" s="2" t="n">
        <x:v>7681</x:v>
      </x:c>
    </x:row>
    <x:row r="102">
      <x:c r="A102" s="1" t="n">
        <x:v>45901</x:v>
      </x:c>
      <x:c r="B102" t="str">
        <x:v>2025-09</x:v>
      </x:c>
      <x:c r="C102" t="str">
        <x:v>Organic Search</x:v>
      </x:c>
      <x:c r="D102" t="n">
        <x:v>420</x:v>
      </x:c>
      <x:c r="E102" t="n">
        <x:v>256</x:v>
      </x:c>
      <x:c r="F102" s="3" t="n">
        <x:v>0.6095238095238096</x:v>
      </x:c>
      <x:c r="G102" s="2" t="n">
        <x:v>7825</x:v>
      </x:c>
    </x:row>
    <x:row r="103">
      <x:c r="A103" s="1" t="n">
        <x:v>45901</x:v>
      </x:c>
      <x:c r="B103" t="str">
        <x:v>2025-09</x:v>
      </x:c>
      <x:c r="C103" t="str">
        <x:v>Paid Ads</x:v>
      </x:c>
      <x:c r="D103" t="n">
        <x:v>346</x:v>
      </x:c>
      <x:c r="E103" t="n">
        <x:v>166</x:v>
      </x:c>
      <x:c r="F103" s="3" t="n">
        <x:v>0.4797687861271676</x:v>
      </x:c>
      <x:c r="G103" s="2" t="n">
        <x:v>22203</x:v>
      </x:c>
    </x:row>
    <x:row r="104">
      <x:c r="A104" s="1" t="n">
        <x:v>45901</x:v>
      </x:c>
      <x:c r="B104" t="str">
        <x:v>2025-09</x:v>
      </x:c>
      <x:c r="C104" t="str">
        <x:v>Referral</x:v>
      </x:c>
      <x:c r="D104" t="n">
        <x:v>243</x:v>
      </x:c>
      <x:c r="E104" t="n">
        <x:v>163</x:v>
      </x:c>
      <x:c r="F104" s="3" t="n">
        <x:v>0.6707818930041153</x:v>
      </x:c>
      <x:c r="G104" s="2" t="n">
        <x:v>3018</x:v>
      </x:c>
    </x:row>
    <x:row r="105">
      <x:c r="A105" s="1" t="n">
        <x:v>45901</x:v>
      </x:c>
      <x:c r="B105" t="str">
        <x:v>2025-09</x:v>
      </x:c>
      <x:c r="C105" t="str">
        <x:v>Events</x:v>
      </x:c>
      <x:c r="D105" t="n">
        <x:v>194</x:v>
      </x:c>
      <x:c r="E105" t="n">
        <x:v>107</x:v>
      </x:c>
      <x:c r="F105" s="3" t="n">
        <x:v>0.5515463917525774</x:v>
      </x:c>
      <x:c r="G105" s="2" t="n">
        <x:v>14858</x:v>
      </x:c>
    </x:row>
    <x:row r="106">
      <x:c r="A106" s="1" t="n">
        <x:v>45901</x:v>
      </x:c>
      <x:c r="B106" t="str">
        <x:v>2025-09</x:v>
      </x:c>
      <x:c r="C106" t="str">
        <x:v>Outbound</x:v>
      </x:c>
      <x:c r="D106" t="n">
        <x:v>203</x:v>
      </x:c>
      <x:c r="E106" t="n">
        <x:v>79</x:v>
      </x:c>
      <x:c r="F106" s="3" t="n">
        <x:v>0.3891625615763547</x:v>
      </x:c>
      <x:c r="G106" s="2" t="n">
        <x:v>8614</x:v>
      </x:c>
    </x:row>
    <x:row r="107">
      <x:c r="A107" s="1" t="n">
        <x:v>45931</x:v>
      </x:c>
      <x:c r="B107" t="str">
        <x:v>2025-10</x:v>
      </x:c>
      <x:c r="C107" t="str">
        <x:v>Organic Search</x:v>
      </x:c>
      <x:c r="D107" t="n">
        <x:v>404</x:v>
      </x:c>
      <x:c r="E107" t="n">
        <x:v>246</x:v>
      </x:c>
      <x:c r="F107" s="3" t="n">
        <x:v>0.6089108910891089</x:v>
      </x:c>
      <x:c r="G107" s="2" t="n">
        <x:v>7527</x:v>
      </x:c>
    </x:row>
    <x:row r="108">
      <x:c r="A108" s="1" t="n">
        <x:v>45931</x:v>
      </x:c>
      <x:c r="B108" t="str">
        <x:v>2025-10</x:v>
      </x:c>
      <x:c r="C108" t="str">
        <x:v>Paid Ads</x:v>
      </x:c>
      <x:c r="D108" t="n">
        <x:v>340</x:v>
      </x:c>
      <x:c r="E108" t="n">
        <x:v>163</x:v>
      </x:c>
      <x:c r="F108" s="3" t="n">
        <x:v>0.47941176470588237</x:v>
      </x:c>
      <x:c r="G108" s="2" t="n">
        <x:v>21818</x:v>
      </x:c>
    </x:row>
    <x:row r="109">
      <x:c r="A109" s="1" t="n">
        <x:v>45931</x:v>
      </x:c>
      <x:c r="B109" t="str">
        <x:v>2025-10</x:v>
      </x:c>
      <x:c r="C109" t="str">
        <x:v>Referral</x:v>
      </x:c>
      <x:c r="D109" t="n">
        <x:v>251</x:v>
      </x:c>
      <x:c r="E109" t="n">
        <x:v>168</x:v>
      </x:c>
      <x:c r="F109" s="3" t="n">
        <x:v>0.6693227091633466</x:v>
      </x:c>
      <x:c r="G109" s="2" t="n">
        <x:v>3117</x:v>
      </x:c>
    </x:row>
    <x:row r="110">
      <x:c r="A110" s="1" t="n">
        <x:v>45931</x:v>
      </x:c>
      <x:c r="B110" t="str">
        <x:v>2025-10</x:v>
      </x:c>
      <x:c r="C110" t="str">
        <x:v>Events</x:v>
      </x:c>
      <x:c r="D110" t="n">
        <x:v>205</x:v>
      </x:c>
      <x:c r="E110" t="n">
        <x:v>113</x:v>
      </x:c>
      <x:c r="F110" s="3" t="n">
        <x:v>0.551219512195122</x:v>
      </x:c>
      <x:c r="G110" s="2" t="n">
        <x:v>15701</x:v>
      </x:c>
    </x:row>
    <x:row r="111">
      <x:c r="A111" s="1" t="n">
        <x:v>45931</x:v>
      </x:c>
      <x:c r="B111" t="str">
        <x:v>2025-10</x:v>
      </x:c>
      <x:c r="C111" t="str">
        <x:v>Outbound</x:v>
      </x:c>
      <x:c r="D111" t="n">
        <x:v>210</x:v>
      </x:c>
      <x:c r="E111" t="n">
        <x:v>82</x:v>
      </x:c>
      <x:c r="F111" s="3" t="n">
        <x:v>0.3904761904761905</x:v>
      </x:c>
      <x:c r="G111" s="2" t="n">
        <x:v>8911</x:v>
      </x:c>
    </x:row>
    <x:row r="112">
      <x:c r="A112" s="1" t="n">
        <x:v>45962</x:v>
      </x:c>
      <x:c r="B112" t="str">
        <x:v>2025-11</x:v>
      </x:c>
      <x:c r="C112" t="str">
        <x:v>Organic Search</x:v>
      </x:c>
      <x:c r="D112" t="n">
        <x:v>416</x:v>
      </x:c>
      <x:c r="E112" t="n">
        <x:v>254</x:v>
      </x:c>
      <x:c r="F112" s="3" t="n">
        <x:v>0.6105769230769231</x:v>
      </x:c>
      <x:c r="G112" s="2" t="n">
        <x:v>7750</x:v>
      </x:c>
    </x:row>
    <x:row r="113">
      <x:c r="A113" s="1" t="n">
        <x:v>45962</x:v>
      </x:c>
      <x:c r="B113" t="str">
        <x:v>2025-11</x:v>
      </x:c>
      <x:c r="C113" t="str">
        <x:v>Paid Ads</x:v>
      </x:c>
      <x:c r="D113" t="n">
        <x:v>367</x:v>
      </x:c>
      <x:c r="E113" t="n">
        <x:v>176</x:v>
      </x:c>
      <x:c r="F113" s="3" t="n">
        <x:v>0.47956403269754766</x:v>
      </x:c>
      <x:c r="G113" s="2" t="n">
        <x:v>23550</x:v>
      </x:c>
    </x:row>
    <x:row r="114">
      <x:c r="A114" s="1" t="n">
        <x:v>45962</x:v>
      </x:c>
      <x:c r="B114" t="str">
        <x:v>2025-11</x:v>
      </x:c>
      <x:c r="C114" t="str">
        <x:v>Referral</x:v>
      </x:c>
      <x:c r="D114" t="n">
        <x:v>277</x:v>
      </x:c>
      <x:c r="E114" t="n">
        <x:v>186</x:v>
      </x:c>
      <x:c r="F114" s="3" t="n">
        <x:v>0.6714801444043321</x:v>
      </x:c>
      <x:c r="G114" s="2" t="n">
        <x:v>3440</x:v>
      </x:c>
    </x:row>
    <x:row r="115">
      <x:c r="A115" s="1" t="n">
        <x:v>45962</x:v>
      </x:c>
      <x:c r="B115" t="str">
        <x:v>2025-11</x:v>
      </x:c>
      <x:c r="C115" t="str">
        <x:v>Events</x:v>
      </x:c>
      <x:c r="D115" t="n">
        <x:v>222</x:v>
      </x:c>
      <x:c r="E115" t="n">
        <x:v>122</x:v>
      </x:c>
      <x:c r="F115" s="3" t="n">
        <x:v>0.5495495495495496</x:v>
      </x:c>
      <x:c r="G115" s="2" t="n">
        <x:v>17003</x:v>
      </x:c>
    </x:row>
    <x:row r="116">
      <x:c r="A116" s="1" t="n">
        <x:v>45962</x:v>
      </x:c>
      <x:c r="B116" t="str">
        <x:v>2025-11</x:v>
      </x:c>
      <x:c r="C116" t="str">
        <x:v>Outbound</x:v>
      </x:c>
      <x:c r="D116" t="n">
        <x:v>218</x:v>
      </x:c>
      <x:c r="E116" t="n">
        <x:v>85</x:v>
      </x:c>
      <x:c r="F116" s="3" t="n">
        <x:v>0.38990825688073394</x:v>
      </x:c>
      <x:c r="G116" s="2" t="n">
        <x:v>9251</x:v>
      </x:c>
    </x:row>
    <x:row r="117">
      <x:c r="A117" s="1" t="n">
        <x:v>45992</x:v>
      </x:c>
      <x:c r="B117" t="str">
        <x:v>2025-12</x:v>
      </x:c>
      <x:c r="C117" t="str">
        <x:v>Organic Search</x:v>
      </x:c>
      <x:c r="D117" t="n">
        <x:v>458</x:v>
      </x:c>
      <x:c r="E117" t="n">
        <x:v>279</x:v>
      </x:c>
      <x:c r="F117" s="3" t="n">
        <x:v>0.6091703056768559</x:v>
      </x:c>
      <x:c r="G117" s="2" t="n">
        <x:v>8533</x:v>
      </x:c>
    </x:row>
    <x:row r="118">
      <x:c r="A118" s="1" t="n">
        <x:v>45992</x:v>
      </x:c>
      <x:c r="B118" t="str">
        <x:v>2025-12</x:v>
      </x:c>
      <x:c r="C118" t="str">
        <x:v>Paid Ads</x:v>
      </x:c>
      <x:c r="D118" t="n">
        <x:v>414</x:v>
      </x:c>
      <x:c r="E118" t="n">
        <x:v>199</x:v>
      </x:c>
      <x:c r="F118" s="3" t="n">
        <x:v>0.4806763285024155</x:v>
      </x:c>
      <x:c r="G118" s="2" t="n">
        <x:v>26566</x:v>
      </x:c>
    </x:row>
    <x:row r="119">
      <x:c r="A119" s="1" t="n">
        <x:v>45992</x:v>
      </x:c>
      <x:c r="B119" t="str">
        <x:v>2025-12</x:v>
      </x:c>
      <x:c r="C119" t="str">
        <x:v>Referral</x:v>
      </x:c>
      <x:c r="D119" t="n">
        <x:v>307</x:v>
      </x:c>
      <x:c r="E119" t="n">
        <x:v>206</x:v>
      </x:c>
      <x:c r="F119" s="3" t="n">
        <x:v>0.6710097719869706</x:v>
      </x:c>
      <x:c r="G119" s="2" t="n">
        <x:v>3813</x:v>
      </x:c>
    </x:row>
    <x:row r="120">
      <x:c r="A120" s="1" t="n">
        <x:v>45992</x:v>
      </x:c>
      <x:c r="B120" t="str">
        <x:v>2025-12</x:v>
      </x:c>
      <x:c r="C120" t="str">
        <x:v>Events</x:v>
      </x:c>
      <x:c r="D120" t="n">
        <x:v>235</x:v>
      </x:c>
      <x:c r="E120" t="n">
        <x:v>129</x:v>
      </x:c>
      <x:c r="F120" s="3" t="n">
        <x:v>0.548936170212766</x:v>
      </x:c>
      <x:c r="G120" s="2" t="n">
        <x:v>17999</x:v>
      </x:c>
    </x:row>
    <x:row r="121">
      <x:c r="A121" s="1" t="n">
        <x:v>45992</x:v>
      </x:c>
      <x:c r="B121" t="str">
        <x:v>2025-12</x:v>
      </x:c>
      <x:c r="C121" t="str">
        <x:v>Outbound</x:v>
      </x:c>
      <x:c r="D121" t="n">
        <x:v>224</x:v>
      </x:c>
      <x:c r="E121" t="n">
        <x:v>87</x:v>
      </x:c>
      <x:c r="F121" s="3" t="n">
        <x:v>0.38839285714285715</x:v>
      </x:c>
      <x:c r="G121" s="2" t="n">
        <x:v>9505</x:v>
      </x:c>
    </x:row>
    <x:row r="122">
      <x:c r="A122" s="1" t="n">
        <x:v>46023</x:v>
      </x:c>
      <x:c r="B122" t="str">
        <x:v>2026-01</x:v>
      </x:c>
      <x:c r="C122" t="str">
        <x:v>Organic Search</x:v>
      </x:c>
      <x:c r="D122" t="n">
        <x:v>395</x:v>
      </x:c>
      <x:c r="E122" t="n">
        <x:v>241</x:v>
      </x:c>
      <x:c r="F122" s="3" t="n">
        <x:v>0.610126582278481</x:v>
      </x:c>
      <x:c r="G122" s="2" t="n">
        <x:v>7608</x:v>
      </x:c>
    </x:row>
    <x:row r="123">
      <x:c r="A123" s="1" t="n">
        <x:v>46023</x:v>
      </x:c>
      <x:c r="B123" t="str">
        <x:v>2026-01</x:v>
      </x:c>
      <x:c r="C123" t="str">
        <x:v>Paid Ads</x:v>
      </x:c>
      <x:c r="D123" t="n">
        <x:v>350</x:v>
      </x:c>
      <x:c r="E123" t="n">
        <x:v>168</x:v>
      </x:c>
      <x:c r="F123" s="3" t="n">
        <x:v>0.48</x:v>
      </x:c>
      <x:c r="G123" s="2" t="n">
        <x:v>23219</x:v>
      </x:c>
    </x:row>
    <x:row r="124">
      <x:c r="A124" s="1" t="n">
        <x:v>46023</x:v>
      </x:c>
      <x:c r="B124" t="str">
        <x:v>2026-01</x:v>
      </x:c>
      <x:c r="C124" t="str">
        <x:v>Referral</x:v>
      </x:c>
      <x:c r="D124" t="n">
        <x:v>248</x:v>
      </x:c>
      <x:c r="E124" t="n">
        <x:v>166</x:v>
      </x:c>
      <x:c r="F124" s="3" t="n">
        <x:v>0.6693548387096774</x:v>
      </x:c>
      <x:c r="G124" s="2" t="n">
        <x:v>3184</x:v>
      </x:c>
    </x:row>
    <x:row r="125">
      <x:c r="A125" s="1" t="n">
        <x:v>46023</x:v>
      </x:c>
      <x:c r="B125" t="str">
        <x:v>2026-01</x:v>
      </x:c>
      <x:c r="C125" t="str">
        <x:v>Events</x:v>
      </x:c>
      <x:c r="D125" t="n">
        <x:v>184</x:v>
      </x:c>
      <x:c r="E125" t="n">
        <x:v>101</x:v>
      </x:c>
      <x:c r="F125" s="3" t="n">
        <x:v>0.5489130434782609</x:v>
      </x:c>
      <x:c r="G125" s="2" t="n">
        <x:v>14569</x:v>
      </x:c>
    </x:row>
    <x:row r="126">
      <x:c r="A126" s="1" t="n">
        <x:v>46023</x:v>
      </x:c>
      <x:c r="B126" t="str">
        <x:v>2026-01</x:v>
      </x:c>
      <x:c r="C126" t="str">
        <x:v>Outbound</x:v>
      </x:c>
      <x:c r="D126" t="n">
        <x:v>178</x:v>
      </x:c>
      <x:c r="E126" t="n">
        <x:v>69</x:v>
      </x:c>
      <x:c r="F126" s="3" t="n">
        <x:v>0.38764044943820225</x:v>
      </x:c>
      <x:c r="G126" s="2" t="n">
        <x:v>7809</x:v>
      </x:c>
    </x:row>
    <x:row r="127">
      <x:c r="A127" s="1" t="n">
        <x:v>46054</x:v>
      </x:c>
      <x:c r="B127" t="str">
        <x:v>2026-02</x:v>
      </x:c>
      <x:c r="C127" t="str">
        <x:v>Organic Search</x:v>
      </x:c>
      <x:c r="D127" t="n">
        <x:v>407</x:v>
      </x:c>
      <x:c r="E127" t="n">
        <x:v>248</x:v>
      </x:c>
      <x:c r="F127" s="3" t="n">
        <x:v>0.6093366093366094</x:v>
      </x:c>
      <x:c r="G127" s="2" t="n">
        <x:v>7839</x:v>
      </x:c>
    </x:row>
    <x:row r="128">
      <x:c r="A128" s="1" t="n">
        <x:v>46054</x:v>
      </x:c>
      <x:c r="B128" t="str">
        <x:v>2026-02</x:v>
      </x:c>
      <x:c r="C128" t="str">
        <x:v>Paid Ads</x:v>
      </x:c>
      <x:c r="D128" t="n">
        <x:v>345</x:v>
      </x:c>
      <x:c r="E128" t="n">
        <x:v>166</x:v>
      </x:c>
      <x:c r="F128" s="3" t="n">
        <x:v>0.4811594202898551</x:v>
      </x:c>
      <x:c r="G128" s="2" t="n">
        <x:v>22887</x:v>
      </x:c>
    </x:row>
    <x:row r="129">
      <x:c r="A129" s="1" t="n">
        <x:v>46054</x:v>
      </x:c>
      <x:c r="B129" t="str">
        <x:v>2026-02</x:v>
      </x:c>
      <x:c r="C129" t="str">
        <x:v>Referral</x:v>
      </x:c>
      <x:c r="D129" t="n">
        <x:v>237</x:v>
      </x:c>
      <x:c r="E129" t="n">
        <x:v>159</x:v>
      </x:c>
      <x:c r="F129" s="3" t="n">
        <x:v>0.6708860759493671</x:v>
      </x:c>
      <x:c r="G129" s="2" t="n">
        <x:v>3043</x:v>
      </x:c>
    </x:row>
    <x:row r="130">
      <x:c r="A130" s="1" t="n">
        <x:v>46054</x:v>
      </x:c>
      <x:c r="B130" t="str">
        <x:v>2026-02</x:v>
      </x:c>
      <x:c r="C130" t="str">
        <x:v>Events</x:v>
      </x:c>
      <x:c r="D130" t="n">
        <x:v>178</x:v>
      </x:c>
      <x:c r="E130" t="n">
        <x:v>98</x:v>
      </x:c>
      <x:c r="F130" s="3" t="n">
        <x:v>0.550561797752809</x:v>
      </x:c>
      <x:c r="G130" s="2" t="n">
        <x:v>14094</x:v>
      </x:c>
    </x:row>
    <x:row r="131">
      <x:c r="A131" s="1" t="n">
        <x:v>46054</x:v>
      </x:c>
      <x:c r="B131" t="str">
        <x:v>2026-02</x:v>
      </x:c>
      <x:c r="C131" t="str">
        <x:v>Outbound</x:v>
      </x:c>
      <x:c r="D131" t="n">
        <x:v>180</x:v>
      </x:c>
      <x:c r="E131" t="n">
        <x:v>70</x:v>
      </x:c>
      <x:c r="F131" s="3" t="n">
        <x:v>0.3888888888888889</x:v>
      </x:c>
      <x:c r="G131" s="2" t="n">
        <x:v>7897</x:v>
      </x:c>
    </x:row>
    <x:row r="132">
      <x:c r="A132" s="1" t="n">
        <x:v>46082</x:v>
      </x:c>
      <x:c r="B132" t="str">
        <x:v>2026-03</x:v>
      </x:c>
      <x:c r="C132" t="str">
        <x:v>Organic Search</x:v>
      </x:c>
      <x:c r="D132" t="n">
        <x:v>440</x:v>
      </x:c>
      <x:c r="E132" t="n">
        <x:v>268</x:v>
      </x:c>
      <x:c r="F132" s="3" t="n">
        <x:v>0.6090909090909091</x:v>
      </x:c>
      <x:c r="G132" s="2" t="n">
        <x:v>8474</x:v>
      </x:c>
    </x:row>
    <x:row r="133">
      <x:c r="A133" s="1" t="n">
        <x:v>46082</x:v>
      </x:c>
      <x:c r="B133" t="str">
        <x:v>2026-03</x:v>
      </x:c>
      <x:c r="C133" t="str">
        <x:v>Paid Ads</x:v>
      </x:c>
      <x:c r="D133" t="n">
        <x:v>362</x:v>
      </x:c>
      <x:c r="E133" t="n">
        <x:v>174</x:v>
      </x:c>
      <x:c r="F133" s="3" t="n">
        <x:v>0.48066298342541436</x:v>
      </x:c>
      <x:c r="G133" s="2" t="n">
        <x:v>24015</x:v>
      </x:c>
    </x:row>
    <x:row r="134">
      <x:c r="A134" s="1" t="n">
        <x:v>46082</x:v>
      </x:c>
      <x:c r="B134" t="str">
        <x:v>2026-03</x:v>
      </x:c>
      <x:c r="C134" t="str">
        <x:v>Referral</x:v>
      </x:c>
      <x:c r="D134" t="n">
        <x:v>252</x:v>
      </x:c>
      <x:c r="E134" t="n">
        <x:v>169</x:v>
      </x:c>
      <x:c r="F134" s="3" t="n">
        <x:v>0.6706349206349206</x:v>
      </x:c>
      <x:c r="G134" s="2" t="n">
        <x:v>3236</x:v>
      </x:c>
    </x:row>
    <x:row r="135">
      <x:c r="A135" s="1" t="n">
        <x:v>46082</x:v>
      </x:c>
      <x:c r="B135" t="str">
        <x:v>2026-03</x:v>
      </x:c>
      <x:c r="C135" t="str">
        <x:v>Events</x:v>
      </x:c>
      <x:c r="D135" t="n">
        <x:v>198</x:v>
      </x:c>
      <x:c r="E135" t="n">
        <x:v>109</x:v>
      </x:c>
      <x:c r="F135" s="3" t="n">
        <x:v>0.5505050505050505</x:v>
      </x:c>
      <x:c r="G135" s="2" t="n">
        <x:v>15678</x:v>
      </x:c>
    </x:row>
    <x:row r="136">
      <x:c r="A136" s="1" t="n">
        <x:v>46082</x:v>
      </x:c>
      <x:c r="B136" t="str">
        <x:v>2026-03</x:v>
      </x:c>
      <x:c r="C136" t="str">
        <x:v>Outbound</x:v>
      </x:c>
      <x:c r="D136" t="n">
        <x:v>208</x:v>
      </x:c>
      <x:c r="E136" t="n">
        <x:v>81</x:v>
      </x:c>
      <x:c r="F136" s="3" t="n">
        <x:v>0.3894230769230769</x:v>
      </x:c>
      <x:c r="G136" s="2" t="n">
        <x:v>9125</x:v>
      </x:c>
    </x:row>
    <x:row r="137">
      <x:c r="A137" s="1" t="n">
        <x:v>46113</x:v>
      </x:c>
      <x:c r="B137" t="str">
        <x:v>2026-04</x:v>
      </x:c>
      <x:c r="C137" t="str">
        <x:v>Organic Search</x:v>
      </x:c>
      <x:c r="D137" t="n">
        <x:v>445</x:v>
      </x:c>
      <x:c r="E137" t="n">
        <x:v>271</x:v>
      </x:c>
      <x:c r="F137" s="3" t="n">
        <x:v>0.6089887640449438</x:v>
      </x:c>
      <x:c r="G137" s="2" t="n">
        <x:v>8571</x:v>
      </x:c>
    </x:row>
    <x:row r="138">
      <x:c r="A138" s="1" t="n">
        <x:v>46113</x:v>
      </x:c>
      <x:c r="B138" t="str">
        <x:v>2026-04</x:v>
      </x:c>
      <x:c r="C138" t="str">
        <x:v>Paid Ads</x:v>
      </x:c>
      <x:c r="D138" t="n">
        <x:v>371</x:v>
      </x:c>
      <x:c r="E138" t="n">
        <x:v>178</x:v>
      </x:c>
      <x:c r="F138" s="3" t="n">
        <x:v>0.4797843665768194</x:v>
      </x:c>
      <x:c r="G138" s="2" t="n">
        <x:v>24612</x:v>
      </x:c>
    </x:row>
    <x:row r="139">
      <x:c r="A139" s="1" t="n">
        <x:v>46113</x:v>
      </x:c>
      <x:c r="B139" t="str">
        <x:v>2026-04</x:v>
      </x:c>
      <x:c r="C139" t="str">
        <x:v>Referral</x:v>
      </x:c>
      <x:c r="D139" t="n">
        <x:v>270</x:v>
      </x:c>
      <x:c r="E139" t="n">
        <x:v>181</x:v>
      </x:c>
      <x:c r="F139" s="3" t="n">
        <x:v>0.6703703703703704</x:v>
      </x:c>
      <x:c r="G139" s="2" t="n">
        <x:v>3467</x:v>
      </x:c>
    </x:row>
    <x:row r="140">
      <x:c r="A140" s="1" t="n">
        <x:v>46113</x:v>
      </x:c>
      <x:c r="B140" t="str">
        <x:v>2026-04</x:v>
      </x:c>
      <x:c r="C140" t="str">
        <x:v>Events</x:v>
      </x:c>
      <x:c r="D140" t="n">
        <x:v>220</x:v>
      </x:c>
      <x:c r="E140" t="n">
        <x:v>121</x:v>
      </x:c>
      <x:c r="F140" s="3" t="n">
        <x:v>0.55</x:v>
      </x:c>
      <x:c r="G140" s="2" t="n">
        <x:v>17420</x:v>
      </x:c>
    </x:row>
    <x:row r="141">
      <x:c r="A141" s="1" t="n">
        <x:v>46113</x:v>
      </x:c>
      <x:c r="B141" t="str">
        <x:v>2026-04</x:v>
      </x:c>
      <x:c r="C141" t="str">
        <x:v>Outbound</x:v>
      </x:c>
      <x:c r="D141" t="n">
        <x:v>228</x:v>
      </x:c>
      <x:c r="E141" t="n">
        <x:v>89</x:v>
      </x:c>
      <x:c r="F141" s="3" t="n">
        <x:v>0.39035087719298245</x:v>
      </x:c>
      <x:c r="G141" s="2" t="n">
        <x:v>10002</x:v>
      </x:c>
    </x:row>
    <x:row r="142">
      <x:c r="A142" s="1" t="n">
        <x:v>46143</x:v>
      </x:c>
      <x:c r="B142" t="str">
        <x:v>2026-05</x:v>
      </x:c>
      <x:c r="C142" t="str">
        <x:v>Organic Search</x:v>
      </x:c>
      <x:c r="D142" t="n">
        <x:v>427</x:v>
      </x:c>
      <x:c r="E142" t="n">
        <x:v>260</x:v>
      </x:c>
      <x:c r="F142" s="3" t="n">
        <x:v>0.6088992974238876</x:v>
      </x:c>
      <x:c r="G142" s="2" t="n">
        <x:v>8224</x:v>
      </x:c>
    </x:row>
    <x:row r="143">
      <x:c r="A143" s="1" t="n">
        <x:v>46143</x:v>
      </x:c>
      <x:c r="B143" t="str">
        <x:v>2026-05</x:v>
      </x:c>
      <x:c r="C143" t="str">
        <x:v>Paid Ads</x:v>
      </x:c>
      <x:c r="D143" t="n">
        <x:v>373</x:v>
      </x:c>
      <x:c r="E143" t="n">
        <x:v>179</x:v>
      </x:c>
      <x:c r="F143" s="3" t="n">
        <x:v>0.47989276139410186</x:v>
      </x:c>
      <x:c r="G143" s="2" t="n">
        <x:v>24745</x:v>
      </x:c>
    </x:row>
    <x:row r="144">
      <x:c r="A144" s="1" t="n">
        <x:v>46143</x:v>
      </x:c>
      <x:c r="B144" t="str">
        <x:v>2026-05</x:v>
      </x:c>
      <x:c r="C144" t="str">
        <x:v>Referral</x:v>
      </x:c>
      <x:c r="D144" t="n">
        <x:v>281</x:v>
      </x:c>
      <x:c r="E144" t="n">
        <x:v>188</x:v>
      </x:c>
      <x:c r="F144" s="3" t="n">
        <x:v>0.6690391459074733</x:v>
      </x:c>
      <x:c r="G144" s="2" t="n">
        <x:v>3608</x:v>
      </x:c>
    </x:row>
    <x:row r="145">
      <x:c r="A145" s="1" t="n">
        <x:v>46143</x:v>
      </x:c>
      <x:c r="B145" t="str">
        <x:v>2026-05</x:v>
      </x:c>
      <x:c r="C145" t="str">
        <x:v>Events</x:v>
      </x:c>
      <x:c r="D145" t="n">
        <x:v>227</x:v>
      </x:c>
      <x:c r="E145" t="n">
        <x:v>125</x:v>
      </x:c>
      <x:c r="F145" s="3" t="n">
        <x:v>0.5506607929515418</x:v>
      </x:c>
      <x:c r="G145" s="2" t="n">
        <x:v>17974</x:v>
      </x:c>
    </x:row>
    <x:row r="146">
      <x:c r="A146" s="1" t="n">
        <x:v>46143</x:v>
      </x:c>
      <x:c r="B146" t="str">
        <x:v>2026-05</x:v>
      </x:c>
      <x:c r="C146" t="str">
        <x:v>Outbound</x:v>
      </x:c>
      <x:c r="D146" t="n">
        <x:v>226</x:v>
      </x:c>
      <x:c r="E146" t="n">
        <x:v>88</x:v>
      </x:c>
      <x:c r="F146" s="3" t="n">
        <x:v>0.3893805309734513</x:v>
      </x:c>
      <x:c r="G146" s="2" t="n">
        <x:v>9915</x:v>
      </x:c>
    </x:row>
    <x:row r="147">
      <x:c r="A147" s="1" t="n">
        <x:v>46174</x:v>
      </x:c>
      <x:c r="B147" t="str">
        <x:v>2026-06</x:v>
      </x:c>
      <x:c r="C147" t="str">
        <x:v>Organic Search</x:v>
      </x:c>
      <x:c r="D147" t="n">
        <x:v>408</x:v>
      </x:c>
      <x:c r="E147" t="n">
        <x:v>249</x:v>
      </x:c>
      <x:c r="F147" s="3" t="n">
        <x:v>0.6102941176470589</x:v>
      </x:c>
      <x:c r="G147" s="2" t="n">
        <x:v>7858</x:v>
      </x:c>
    </x:row>
    <x:row r="148">
      <x:c r="A148" s="1" t="n">
        <x:v>46174</x:v>
      </x:c>
      <x:c r="B148" t="str">
        <x:v>2026-06</x:v>
      </x:c>
      <x:c r="C148" t="str">
        <x:v>Paid Ads</x:v>
      </x:c>
      <x:c r="D148" t="n">
        <x:v>368</x:v>
      </x:c>
      <x:c r="E148" t="n">
        <x:v>177</x:v>
      </x:c>
      <x:c r="F148" s="3" t="n">
        <x:v>0.48097826086956524</x:v>
      </x:c>
      <x:c r="G148" s="2" t="n">
        <x:v>24413</x:v>
      </x:c>
    </x:row>
    <x:row r="149">
      <x:c r="A149" s="1" t="n">
        <x:v>46174</x:v>
      </x:c>
      <x:c r="B149" t="str">
        <x:v>2026-06</x:v>
      </x:c>
      <x:c r="C149" t="str">
        <x:v>Referral</x:v>
      </x:c>
      <x:c r="D149" t="n">
        <x:v>275</x:v>
      </x:c>
      <x:c r="E149" t="n">
        <x:v>184</x:v>
      </x:c>
      <x:c r="F149" s="3" t="n">
        <x:v>0.6690909090909091</x:v>
      </x:c>
      <x:c r="G149" s="2" t="n">
        <x:v>3531</x:v>
      </x:c>
    </x:row>
    <x:row r="150">
      <x:c r="A150" s="1" t="n">
        <x:v>46174</x:v>
      </x:c>
      <x:c r="B150" t="str">
        <x:v>2026-06</x:v>
      </x:c>
      <x:c r="C150" t="str">
        <x:v>Events</x:v>
      </x:c>
      <x:c r="D150" t="n">
        <x:v>213</x:v>
      </x:c>
      <x:c r="E150" t="n">
        <x:v>117</x:v>
      </x:c>
      <x:c r="F150" s="3" t="n">
        <x:v>0.5492957746478874</x:v>
      </x:c>
      <x:c r="G150" s="2" t="n">
        <x:v>16865</x:v>
      </x:c>
    </x:row>
    <x:row r="151">
      <x:c r="A151" s="1" t="n">
        <x:v>46174</x:v>
      </x:c>
      <x:c r="B151" t="str">
        <x:v>2026-06</x:v>
      </x:c>
      <x:c r="C151" t="str">
        <x:v>Outbound</x:v>
      </x:c>
      <x:c r="D151" t="n">
        <x:v>204</x:v>
      </x:c>
      <x:c r="E151" t="n">
        <x:v>80</x:v>
      </x:c>
      <x:c r="F151" s="3" t="n">
        <x:v>0.39215686274509803</x:v>
      </x:c>
      <x:c r="G151" s="2" t="n">
        <x:v>8949</x:v>
      </x:c>
    </x:row>
    <x:row r="152">
      <x:c r="A152" s="1" t="n">
        <x:v>46204</x:v>
      </x:c>
      <x:c r="B152" t="str">
        <x:v>2026-07</x:v>
      </x:c>
      <x:c r="C152" t="str">
        <x:v>Organic Search</x:v>
      </x:c>
      <x:c r="D152" t="n">
        <x:v>418</x:v>
      </x:c>
      <x:c r="E152" t="n">
        <x:v>255</x:v>
      </x:c>
      <x:c r="F152" s="3" t="n">
        <x:v>0.6100478468899522</x:v>
      </x:c>
      <x:c r="G152" s="2" t="n">
        <x:v>8051</x:v>
      </x:c>
    </x:row>
    <x:row r="153">
      <x:c r="A153" s="1" t="n">
        <x:v>46204</x:v>
      </x:c>
      <x:c r="B153" t="str">
        <x:v>2026-07</x:v>
      </x:c>
      <x:c r="C153" t="str">
        <x:v>Paid Ads</x:v>
      </x:c>
      <x:c r="D153" t="n">
        <x:v>374</x:v>
      </x:c>
      <x:c r="E153" t="n">
        <x:v>180</x:v>
      </x:c>
      <x:c r="F153" s="3" t="n">
        <x:v>0.48128342245989303</x:v>
      </x:c>
      <x:c r="G153" s="2" t="n">
        <x:v>24811</x:v>
      </x:c>
    </x:row>
    <x:row r="154">
      <x:c r="A154" s="1" t="n">
        <x:v>46204</x:v>
      </x:c>
      <x:c r="B154" t="str">
        <x:v>2026-07</x:v>
      </x:c>
      <x:c r="C154" t="str">
        <x:v>Referral</x:v>
      </x:c>
      <x:c r="D154" t="n">
        <x:v>268</x:v>
      </x:c>
      <x:c r="E154" t="n">
        <x:v>180</x:v>
      </x:c>
      <x:c r="F154" s="3" t="n">
        <x:v>0.6716417910447762</x:v>
      </x:c>
      <x:c r="G154" s="2" t="n">
        <x:v>3441</x:v>
      </x:c>
    </x:row>
    <x:row r="155">
      <x:c r="A155" s="1" t="n">
        <x:v>46204</x:v>
      </x:c>
      <x:c r="B155" t="str">
        <x:v>2026-07</x:v>
      </x:c>
      <x:c r="C155" t="str">
        <x:v>Events</x:v>
      </x:c>
      <x:c r="D155" t="n">
        <x:v>200</x:v>
      </x:c>
      <x:c r="E155" t="n">
        <x:v>110</x:v>
      </x:c>
      <x:c r="F155" s="3" t="n">
        <x:v>0.55</x:v>
      </x:c>
      <x:c r="G155" s="2" t="n">
        <x:v>15836</x:v>
      </x:c>
    </x:row>
    <x:row r="156">
      <x:c r="A156" s="1" t="n">
        <x:v>46204</x:v>
      </x:c>
      <x:c r="B156" t="str">
        <x:v>2026-07</x:v>
      </x:c>
      <x:c r="C156" t="str">
        <x:v>Outbound</x:v>
      </x:c>
      <x:c r="D156" t="n">
        <x:v>192</x:v>
      </x:c>
      <x:c r="E156" t="n">
        <x:v>75</x:v>
      </x:c>
      <x:c r="F156" s="3" t="n">
        <x:v>0.390625</x:v>
      </x:c>
      <x:c r="G156" s="2" t="n">
        <x:v>8423</x:v>
      </x:c>
    </x:row>
    <x:row r="157">
      <x:c r="A157" s="1" t="n">
        <x:v>46235</x:v>
      </x:c>
      <x:c r="B157" t="str">
        <x:v>2026-08</x:v>
      </x:c>
      <x:c r="C157" t="str">
        <x:v>Organic Search</x:v>
      </x:c>
      <x:c r="D157" t="n">
        <x:v>442</x:v>
      </x:c>
      <x:c r="E157" t="n">
        <x:v>270</x:v>
      </x:c>
      <x:c r="F157" s="3" t="n">
        <x:v>0.6108597285067874</x:v>
      </x:c>
      <x:c r="G157" s="2" t="n">
        <x:v>8513</x:v>
      </x:c>
    </x:row>
    <x:row r="158">
      <x:c r="A158" s="1" t="n">
        <x:v>46235</x:v>
      </x:c>
      <x:c r="B158" t="str">
        <x:v>2026-08</x:v>
      </x:c>
      <x:c r="C158" t="str">
        <x:v>Paid Ads</x:v>
      </x:c>
      <x:c r="D158" t="n">
        <x:v>380</x:v>
      </x:c>
      <x:c r="E158" t="n">
        <x:v>182</x:v>
      </x:c>
      <x:c r="F158" s="3" t="n">
        <x:v>0.4789473684210526</x:v>
      </x:c>
      <x:c r="G158" s="2" t="n">
        <x:v>25209</x:v>
      </x:c>
    </x:row>
    <x:row r="159">
      <x:c r="A159" s="1" t="n">
        <x:v>46235</x:v>
      </x:c>
      <x:c r="B159" t="str">
        <x:v>2026-08</x:v>
      </x:c>
      <x:c r="C159" t="str">
        <x:v>Referral</x:v>
      </x:c>
      <x:c r="D159" t="n">
        <x:v>262</x:v>
      </x:c>
      <x:c r="E159" t="n">
        <x:v>176</x:v>
      </x:c>
      <x:c r="F159" s="3" t="n">
        <x:v>0.6717557251908397</x:v>
      </x:c>
      <x:c r="G159" s="2" t="n">
        <x:v>3364</x:v>
      </x:c>
    </x:row>
    <x:row r="160">
      <x:c r="A160" s="1" t="n">
        <x:v>46235</x:v>
      </x:c>
      <x:c r="B160" t="str">
        <x:v>2026-08</x:v>
      </x:c>
      <x:c r="C160" t="str">
        <x:v>Events</x:v>
      </x:c>
      <x:c r="D160" t="n">
        <x:v>196</x:v>
      </x:c>
      <x:c r="E160" t="n">
        <x:v>108</x:v>
      </x:c>
      <x:c r="F160" s="3" t="n">
        <x:v>0.5510204081632653</x:v>
      </x:c>
      <x:c r="G160" s="2" t="n">
        <x:v>15519</x:v>
      </x:c>
    </x:row>
    <x:row r="161">
      <x:c r="A161" s="1" t="n">
        <x:v>46235</x:v>
      </x:c>
      <x:c r="B161" t="str">
        <x:v>2026-08</x:v>
      </x:c>
      <x:c r="C161" t="str">
        <x:v>Outbound</x:v>
      </x:c>
      <x:c r="D161" t="n">
        <x:v>195</x:v>
      </x:c>
      <x:c r="E161" t="n">
        <x:v>76</x:v>
      </x:c>
      <x:c r="F161" s="3" t="n">
        <x:v>0.38974358974358975</x:v>
      </x:c>
      <x:c r="G161" s="2" t="n">
        <x:v>8555</x:v>
      </x:c>
    </x:row>
    <x:row r="162">
      <x:c r="A162" s="1" t="n">
        <x:v>46266</x:v>
      </x:c>
      <x:c r="B162" t="str">
        <x:v>2026-09</x:v>
      </x:c>
      <x:c r="C162" t="str">
        <x:v>Organic Search</x:v>
      </x:c>
      <x:c r="D162" t="n">
        <x:v>459</x:v>
      </x:c>
      <x:c r="E162" t="n">
        <x:v>280</x:v>
      </x:c>
      <x:c r="F162" s="3" t="n">
        <x:v>0.6100217864923747</x:v>
      </x:c>
      <x:c r="G162" s="2" t="n">
        <x:v>8840</x:v>
      </x:c>
    </x:row>
    <x:row r="163">
      <x:c r="A163" s="1" t="n">
        <x:v>46266</x:v>
      </x:c>
      <x:c r="B163" t="str">
        <x:v>2026-09</x:v>
      </x:c>
      <x:c r="C163" t="str">
        <x:v>Paid Ads</x:v>
      </x:c>
      <x:c r="D163" t="n">
        <x:v>379</x:v>
      </x:c>
      <x:c r="E163" t="n">
        <x:v>182</x:v>
      </x:c>
      <x:c r="F163" s="3" t="n">
        <x:v>0.48021108179419525</x:v>
      </x:c>
      <x:c r="G163" s="2" t="n">
        <x:v>25143</x:v>
      </x:c>
    </x:row>
    <x:row r="164">
      <x:c r="A164" s="1" t="n">
        <x:v>46266</x:v>
      </x:c>
      <x:c r="B164" t="str">
        <x:v>2026-09</x:v>
      </x:c>
      <x:c r="C164" t="str">
        <x:v>Referral</x:v>
      </x:c>
      <x:c r="D164" t="n">
        <x:v>262</x:v>
      </x:c>
      <x:c r="E164" t="n">
        <x:v>176</x:v>
      </x:c>
      <x:c r="F164" s="3" t="n">
        <x:v>0.6717557251908397</x:v>
      </x:c>
      <x:c r="G164" s="2" t="n">
        <x:v>3364</x:v>
      </x:c>
    </x:row>
    <x:row r="165">
      <x:c r="A165" s="1" t="n">
        <x:v>46266</x:v>
      </x:c>
      <x:c r="B165" t="str">
        <x:v>2026-09</x:v>
      </x:c>
      <x:c r="C165" t="str">
        <x:v>Events</x:v>
      </x:c>
      <x:c r="D165" t="n">
        <x:v>203</x:v>
      </x:c>
      <x:c r="E165" t="n">
        <x:v>112</x:v>
      </x:c>
      <x:c r="F165" s="3" t="n">
        <x:v>0.5517241379310345</x:v>
      </x:c>
      <x:c r="G165" s="2" t="n">
        <x:v>16074</x:v>
      </x:c>
    </x:row>
    <x:row r="166">
      <x:c r="A166" s="1" t="n">
        <x:v>46266</x:v>
      </x:c>
      <x:c r="B166" t="str">
        <x:v>2026-09</x:v>
      </x:c>
      <x:c r="C166" t="str">
        <x:v>Outbound</x:v>
      </x:c>
      <x:c r="D166" t="n">
        <x:v>211</x:v>
      </x:c>
      <x:c r="E166" t="n">
        <x:v>82</x:v>
      </x:c>
      <x:c r="F166" s="3" t="n">
        <x:v>0.3886255924170616</x:v>
      </x:c>
      <x:c r="G166" s="2" t="n">
        <x:v>9257</x:v>
      </x:c>
    </x:row>
    <x:row r="167">
      <x:c r="A167" s="1" t="n">
        <x:v>46296</x:v>
      </x:c>
      <x:c r="B167" t="str">
        <x:v>2026-10</x:v>
      </x:c>
      <x:c r="C167" t="str">
        <x:v>Organic Search</x:v>
      </x:c>
      <x:c r="D167" t="n">
        <x:v>466</x:v>
      </x:c>
      <x:c r="E167" t="n">
        <x:v>284</x:v>
      </x:c>
      <x:c r="F167" s="3" t="n">
        <x:v>0.6094420600858369</x:v>
      </x:c>
      <x:c r="G167" s="2" t="n">
        <x:v>8975</x:v>
      </x:c>
    </x:row>
    <x:row r="168">
      <x:c r="A168" s="1" t="n">
        <x:v>46296</x:v>
      </x:c>
      <x:c r="B168" t="str">
        <x:v>2026-10</x:v>
      </x:c>
      <x:c r="C168" t="str">
        <x:v>Paid Ads</x:v>
      </x:c>
      <x:c r="D168" t="n">
        <x:v>385</x:v>
      </x:c>
      <x:c r="E168" t="n">
        <x:v>185</x:v>
      </x:c>
      <x:c r="F168" s="3" t="n">
        <x:v>0.4805194805194805</x:v>
      </x:c>
      <x:c r="G168" s="2" t="n">
        <x:v>25541</x:v>
      </x:c>
    </x:row>
    <x:row r="169">
      <x:c r="A169" s="1" t="n">
        <x:v>46296</x:v>
      </x:c>
      <x:c r="B169" t="str">
        <x:v>2026-10</x:v>
      </x:c>
      <x:c r="C169" t="str">
        <x:v>Referral</x:v>
      </x:c>
      <x:c r="D169" t="n">
        <x:v>276</x:v>
      </x:c>
      <x:c r="E169" t="n">
        <x:v>185</x:v>
      </x:c>
      <x:c r="F169" s="3" t="n">
        <x:v>0.6702898550724637</x:v>
      </x:c>
      <x:c r="G169" s="2" t="n">
        <x:v>3544</x:v>
      </x:c>
    </x:row>
    <x:row r="170">
      <x:c r="A170" s="1" t="n">
        <x:v>46296</x:v>
      </x:c>
      <x:c r="B170" t="str">
        <x:v>2026-10</x:v>
      </x:c>
      <x:c r="C170" t="str">
        <x:v>Events</x:v>
      </x:c>
      <x:c r="D170" t="n">
        <x:v>224</x:v>
      </x:c>
      <x:c r="E170" t="n">
        <x:v>123</x:v>
      </x:c>
      <x:c r="F170" s="3" t="n">
        <x:v>0.5491071428571429</x:v>
      </x:c>
      <x:c r="G170" s="2" t="n">
        <x:v>17736</x:v>
      </x:c>
    </x:row>
    <x:row r="171">
      <x:c r="A171" s="1" t="n">
        <x:v>46296</x:v>
      </x:c>
      <x:c r="B171" t="str">
        <x:v>2026-10</x:v>
      </x:c>
      <x:c r="C171" t="str">
        <x:v>Outbound</x:v>
      </x:c>
      <x:c r="D171" t="n">
        <x:v>234</x:v>
      </x:c>
      <x:c r="E171" t="n">
        <x:v>91</x:v>
      </x:c>
      <x:c r="F171" s="3" t="n">
        <x:v>0.3888888888888889</x:v>
      </x:c>
      <x:c r="G171" s="2" t="n">
        <x:v>10266</x:v>
      </x:c>
    </x:row>
    <x:row r="172">
      <x:c r="A172" s="1" t="n">
        <x:v>46327</x:v>
      </x:c>
      <x:c r="B172" t="str">
        <x:v>2026-11</x:v>
      </x:c>
      <x:c r="C172" t="str">
        <x:v>Organic Search</x:v>
      </x:c>
      <x:c r="D172" t="n">
        <x:v>477</x:v>
      </x:c>
      <x:c r="E172" t="n">
        <x:v>291</x:v>
      </x:c>
      <x:c r="F172" s="3" t="n">
        <x:v>0.610062893081761</x:v>
      </x:c>
      <x:c r="G172" s="2" t="n">
        <x:v>9187</x:v>
      </x:c>
    </x:row>
    <x:row r="173">
      <x:c r="A173" s="1" t="n">
        <x:v>46327</x:v>
      </x:c>
      <x:c r="B173" t="str">
        <x:v>2026-11</x:v>
      </x:c>
      <x:c r="C173" t="str">
        <x:v>Paid Ads</x:v>
      </x:c>
      <x:c r="D173" t="n">
        <x:v>410</x:v>
      </x:c>
      <x:c r="E173" t="n">
        <x:v>197</x:v>
      </x:c>
      <x:c r="F173" s="3" t="n">
        <x:v>0.48048780487804876</x:v>
      </x:c>
      <x:c r="G173" s="2" t="n">
        <x:v>27199</x:v>
      </x:c>
    </x:row>
    <x:row r="174">
      <x:c r="A174" s="1" t="n">
        <x:v>46327</x:v>
      </x:c>
      <x:c r="B174" t="str">
        <x:v>2026-11</x:v>
      </x:c>
      <x:c r="C174" t="str">
        <x:v>Referral</x:v>
      </x:c>
      <x:c r="D174" t="n">
        <x:v>307</x:v>
      </x:c>
      <x:c r="E174" t="n">
        <x:v>206</x:v>
      </x:c>
      <x:c r="F174" s="3" t="n">
        <x:v>0.6710097719869706</x:v>
      </x:c>
      <x:c r="G174" s="2" t="n">
        <x:v>3942</x:v>
      </x:c>
    </x:row>
    <x:row r="175">
      <x:c r="A175" s="1" t="n">
        <x:v>46327</x:v>
      </x:c>
      <x:c r="B175" t="str">
        <x:v>2026-11</x:v>
      </x:c>
      <x:c r="C175" t="str">
        <x:v>Events</x:v>
      </x:c>
      <x:c r="D175" t="n">
        <x:v>250</x:v>
      </x:c>
      <x:c r="E175" t="n">
        <x:v>138</x:v>
      </x:c>
      <x:c r="F175" s="3" t="n">
        <x:v>0.552</x:v>
      </x:c>
      <x:c r="G175" s="2" t="n">
        <x:v>19795</x:v>
      </x:c>
    </x:row>
    <x:row r="176">
      <x:c r="A176" s="1" t="n">
        <x:v>46327</x:v>
      </x:c>
      <x:c r="B176" t="str">
        <x:v>2026-11</x:v>
      </x:c>
      <x:c r="C176" t="str">
        <x:v>Outbound</x:v>
      </x:c>
      <x:c r="D176" t="n">
        <x:v>252</x:v>
      </x:c>
      <x:c r="E176" t="n">
        <x:v>98</x:v>
      </x:c>
      <x:c r="F176" s="3" t="n">
        <x:v>0.3888888888888889</x:v>
      </x:c>
      <x:c r="G176" s="2" t="n">
        <x:v>11055</x:v>
      </x:c>
    </x:row>
    <x:row r="177">
      <x:c r="A177" s="1" t="n">
        <x:v>46357</x:v>
      </x:c>
      <x:c r="B177" t="str">
        <x:v>2026-12</x:v>
      </x:c>
      <x:c r="C177" t="str">
        <x:v>Organic Search</x:v>
      </x:c>
      <x:c r="D177" t="n">
        <x:v>488</x:v>
      </x:c>
      <x:c r="E177" t="n">
        <x:v>298</x:v>
      </x:c>
      <x:c r="F177" s="3" t="n">
        <x:v>0.610655737704918</x:v>
      </x:c>
      <x:c r="G177" s="2" t="n">
        <x:v>9399</x:v>
      </x:c>
    </x:row>
    <x:row r="178">
      <x:c r="A178" s="1" t="n">
        <x:v>46357</x:v>
      </x:c>
      <x:c r="B178" t="str">
        <x:v>2026-12</x:v>
      </x:c>
      <x:c r="C178" t="str">
        <x:v>Paid Ads</x:v>
      </x:c>
      <x:c r="D178" t="n">
        <x:v>438</x:v>
      </x:c>
      <x:c r="E178" t="n">
        <x:v>210</x:v>
      </x:c>
      <x:c r="F178" s="3" t="n">
        <x:v>0.4794520547945205</x:v>
      </x:c>
      <x:c r="G178" s="2" t="n">
        <x:v>29057</x:v>
      </x:c>
    </x:row>
    <x:row r="179">
      <x:c r="A179" s="1" t="n">
        <x:v>46357</x:v>
      </x:c>
      <x:c r="B179" t="str">
        <x:v>2026-12</x:v>
      </x:c>
      <x:c r="C179" t="str">
        <x:v>Referral</x:v>
      </x:c>
      <x:c r="D179" t="n">
        <x:v>329</x:v>
      </x:c>
      <x:c r="E179" t="n">
        <x:v>220</x:v>
      </x:c>
      <x:c r="F179" s="3" t="n">
        <x:v>0.668693009118541</x:v>
      </x:c>
      <x:c r="G179" s="2" t="n">
        <x:v>4224</x:v>
      </x:c>
    </x:row>
    <x:row r="180">
      <x:c r="A180" s="1" t="n">
        <x:v>46357</x:v>
      </x:c>
      <x:c r="B180" t="str">
        <x:v>2026-12</x:v>
      </x:c>
      <x:c r="C180" t="str">
        <x:v>Events</x:v>
      </x:c>
      <x:c r="D180" t="n">
        <x:v>259</x:v>
      </x:c>
      <x:c r="E180" t="n">
        <x:v>142</x:v>
      </x:c>
      <x:c r="F180" s="3" t="n">
        <x:v>0.5482625482625483</x:v>
      </x:c>
      <x:c r="G180" s="2" t="n">
        <x:v>20508</x:v>
      </x:c>
    </x:row>
    <x:row r="181">
      <x:c r="A181" s="1" t="n">
        <x:v>46357</x:v>
      </x:c>
      <x:c r="B181" t="str">
        <x:v>2026-12</x:v>
      </x:c>
      <x:c r="C181" t="str">
        <x:v>Outbound</x:v>
      </x:c>
      <x:c r="D181" t="n">
        <x:v>250</x:v>
      </x:c>
      <x:c r="E181" t="n">
        <x:v>98</x:v>
      </x:c>
      <x:c r="F181" s="3" t="n">
        <x:v>0.392</x:v>
      </x:c>
      <x:c r="G181" s="2" t="n">
        <x:v>10968</x:v>
      </x:c>
    </x:row>
  </x:sheetData>
  <x:pageMargins left="0.7" right="0.7" top="0.75" bottom="0.75" header="0.3" footer="0.3"/>
  <x:tableParts count="1">
    <x:tablePart xmlns:r="http://schemas.openxmlformats.org/officeDocument/2006/relationships" r:id="R3f71c61c719643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48" hidden="0" customWidth="1"/>
  </x:cols>
  <x:sheetData>
    <x:row r="1">
      <x:c r="A1" s="78" t="str">
        <x:v>KPI</x:v>
      </x:c>
      <x:c r="B1" s="78" t="str">
        <x:v>Definition</x:v>
      </x:c>
      <x:c r="C1" s="78" t="str">
        <x:v>Formula / business rule</x:v>
      </x:c>
    </x:row>
    <x:row r="2">
      <x:c r="A2" s="84" t="str">
        <x:v>New Leads / Prospects</x:v>
      </x:c>
      <x:c r="B2" s="84" t="str">
        <x:v>New contacts created in the selected month</x:v>
      </x:c>
      <x:c r="C2" s="84" t="str">
        <x:v>Count of new lead records</x:v>
      </x:c>
    </x:row>
    <x:row r="3">
      <x:c r="A3" s="85" t="str">
        <x:v>Qualified Leads</x:v>
      </x:c>
      <x:c r="B3" s="85" t="str">
        <x:v>Leads meeting qualification criteria</x:v>
      </x:c>
      <x:c r="C3" s="85" t="str">
        <x:v>Qualified Leads ÷ New Leads</x:v>
      </x:c>
    </x:row>
    <x:row r="4">
      <x:c r="A4" s="85" t="str">
        <x:v>Opportunities</x:v>
      </x:c>
      <x:c r="B4" s="85" t="str">
        <x:v>Qualified leads converted into active opportunities</x:v>
      </x:c>
      <x:c r="C4" s="85" t="str">
        <x:v>Opportunity count</x:v>
      </x:c>
    </x:row>
    <x:row r="5">
      <x:c r="A5" s="85" t="str">
        <x:v>Won Deals</x:v>
      </x:c>
      <x:c r="B5" s="85" t="str">
        <x:v>Opportunities closed as won</x:v>
      </x:c>
      <x:c r="C5" s="85" t="str">
        <x:v>Won deal count</x:v>
      </x:c>
    </x:row>
    <x:row r="6">
      <x:c r="A6" s="85" t="str">
        <x:v>Won Revenue</x:v>
      </x:c>
      <x:c r="B6" s="85" t="str">
        <x:v>Booked revenue from won deals</x:v>
      </x:c>
      <x:c r="C6" s="85" t="str">
        <x:v>Sum of won deal value</x:v>
      </x:c>
    </x:row>
    <x:row r="7">
      <x:c r="A7" s="85" t="str">
        <x:v>Pipeline Value</x:v>
      </x:c>
      <x:c r="B7" s="85" t="str">
        <x:v>Open opportunity value</x:v>
      </x:c>
      <x:c r="C7" s="85" t="str">
        <x:v>Sum of open weighted/unweighted pipeline</x:v>
      </x:c>
    </x:row>
    <x:row r="8">
      <x:c r="A8" s="85" t="str">
        <x:v>Win Rate</x:v>
      </x:c>
      <x:c r="B8" s="85" t="str">
        <x:v>Share of opportunities won</x:v>
      </x:c>
      <x:c r="C8" s="85" t="str">
        <x:v>Won Deals ÷ Opportunities</x:v>
      </x:c>
    </x:row>
    <x:row r="9">
      <x:c r="A9" s="85" t="str">
        <x:v>Target Attainment</x:v>
      </x:c>
      <x:c r="B9" s="85" t="str">
        <x:v>Revenue performance against plan</x:v>
      </x:c>
      <x:c r="C9" s="85" t="str">
        <x:v>Won Revenue ÷ Revenue Target</x:v>
      </x:c>
    </x:row>
    <x:row r="10">
      <x:c r="A10" s="85" t="str">
        <x:v>Average Deal Size</x:v>
      </x:c>
      <x:c r="B10" s="85" t="str">
        <x:v>Average booked value per won deal</x:v>
      </x:c>
      <x:c r="C10" s="85" t="str">
        <x:v>Won Revenue ÷ Won Deals</x:v>
      </x:c>
    </x:row>
    <x:row r="11">
      <x:c r="A11" s="85" t="str">
        <x:v>Sales Cycle Days</x:v>
      </x:c>
      <x:c r="B11" s="85" t="str">
        <x:v>Average time from opportunity creation to close</x:v>
      </x:c>
      <x:c r="C11" s="85" t="str">
        <x:v>Average close date − create date</x:v>
      </x:c>
    </x:row>
    <x:row r="12">
      <x:c r="A12" s="86" t="str">
        <x:v>Previous Year</x:v>
      </x:c>
      <x:c r="B12" s="86" t="str">
        <x:v>Same calendar month one year earlier</x:v>
      </x:c>
      <x:c r="C12" s="86" t="str">
        <x:v>Selected month shifted back 12 months</x:v>
      </x:c>
    </x:row>
  </x:sheetData>
  <x:pageMargins left="0.7" right="0.7" top="0.75" bottom="0.75" header="0.3" footer="0.3"/>
</x:worksheet>
</file>